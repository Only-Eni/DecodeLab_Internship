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iit\Downloads\"/>
    </mc:Choice>
  </mc:AlternateContent>
  <xr:revisionPtr revIDLastSave="0" documentId="13_ncr:1_{55191E8C-DABB-40C5-A1F4-A019D9C08B9F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aw" sheetId="3" r:id="rId1"/>
    <sheet name="Working Sheet" sheetId="2" r:id="rId2"/>
    <sheet name="EDA" sheetId="4" r:id="rId3"/>
  </sheets>
  <definedNames>
    <definedName name="_xlnm._FilterDatabase" localSheetId="1" hidden="1">'Working Sheet'!#REF!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09" i="2" l="1"/>
  <c r="C1208" i="2"/>
  <c r="C1207" i="2"/>
  <c r="C1206" i="2"/>
  <c r="C1205" i="2"/>
  <c r="L2" i="2"/>
  <c r="P2" i="2" s="1"/>
  <c r="L3" i="2"/>
  <c r="P3" i="2" s="1"/>
  <c r="L4" i="2"/>
  <c r="P4" i="2" s="1"/>
  <c r="L5" i="2"/>
  <c r="P5" i="2" s="1"/>
  <c r="L6" i="2"/>
  <c r="P6" i="2" s="1"/>
  <c r="L7" i="2"/>
  <c r="P7" i="2" s="1"/>
  <c r="L8" i="2"/>
  <c r="P8" i="2" s="1"/>
  <c r="L9" i="2"/>
  <c r="P9" i="2" s="1"/>
  <c r="L10" i="2"/>
  <c r="P10" i="2" s="1"/>
  <c r="L11" i="2"/>
  <c r="P11" i="2" s="1"/>
  <c r="L12" i="2"/>
  <c r="P12" i="2" s="1"/>
  <c r="L13" i="2"/>
  <c r="P13" i="2" s="1"/>
  <c r="L14" i="2"/>
  <c r="P14" i="2" s="1"/>
  <c r="L15" i="2"/>
  <c r="P15" i="2" s="1"/>
  <c r="L16" i="2"/>
  <c r="P16" i="2" s="1"/>
  <c r="L17" i="2"/>
  <c r="P17" i="2" s="1"/>
  <c r="L18" i="2"/>
  <c r="P18" i="2" s="1"/>
  <c r="L19" i="2"/>
  <c r="P19" i="2" s="1"/>
  <c r="L20" i="2"/>
  <c r="P20" i="2" s="1"/>
  <c r="L21" i="2"/>
  <c r="P21" i="2" s="1"/>
  <c r="L22" i="2"/>
  <c r="P22" i="2" s="1"/>
  <c r="L23" i="2"/>
  <c r="P23" i="2" s="1"/>
  <c r="L24" i="2"/>
  <c r="P24" i="2" s="1"/>
  <c r="L25" i="2"/>
  <c r="P25" i="2" s="1"/>
  <c r="L26" i="2"/>
  <c r="P26" i="2" s="1"/>
  <c r="L27" i="2"/>
  <c r="P27" i="2" s="1"/>
  <c r="L28" i="2"/>
  <c r="P28" i="2" s="1"/>
  <c r="L29" i="2"/>
  <c r="P29" i="2" s="1"/>
  <c r="L30" i="2"/>
  <c r="P30" i="2" s="1"/>
  <c r="L31" i="2"/>
  <c r="P31" i="2" s="1"/>
  <c r="L32" i="2"/>
  <c r="P32" i="2" s="1"/>
  <c r="L33" i="2"/>
  <c r="P33" i="2" s="1"/>
  <c r="L34" i="2"/>
  <c r="P34" i="2" s="1"/>
  <c r="L35" i="2"/>
  <c r="P35" i="2" s="1"/>
  <c r="L36" i="2"/>
  <c r="P36" i="2" s="1"/>
  <c r="L37" i="2"/>
  <c r="P37" i="2" s="1"/>
  <c r="L38" i="2"/>
  <c r="P38" i="2" s="1"/>
  <c r="L39" i="2"/>
  <c r="P39" i="2" s="1"/>
  <c r="L40" i="2"/>
  <c r="P40" i="2" s="1"/>
  <c r="L41" i="2"/>
  <c r="P41" i="2" s="1"/>
  <c r="L42" i="2"/>
  <c r="P42" i="2" s="1"/>
  <c r="L43" i="2"/>
  <c r="P43" i="2" s="1"/>
  <c r="L44" i="2"/>
  <c r="P44" i="2" s="1"/>
  <c r="L45" i="2"/>
  <c r="P45" i="2" s="1"/>
  <c r="L46" i="2"/>
  <c r="P46" i="2" s="1"/>
  <c r="L47" i="2"/>
  <c r="P47" i="2" s="1"/>
  <c r="L48" i="2"/>
  <c r="P48" i="2" s="1"/>
  <c r="L49" i="2"/>
  <c r="P49" i="2" s="1"/>
  <c r="L50" i="2"/>
  <c r="P50" i="2" s="1"/>
  <c r="L51" i="2"/>
  <c r="P51" i="2" s="1"/>
  <c r="L52" i="2"/>
  <c r="P52" i="2" s="1"/>
  <c r="L53" i="2"/>
  <c r="P53" i="2" s="1"/>
  <c r="L54" i="2"/>
  <c r="P54" i="2" s="1"/>
  <c r="L55" i="2"/>
  <c r="P55" i="2" s="1"/>
  <c r="L56" i="2"/>
  <c r="P56" i="2" s="1"/>
  <c r="L57" i="2"/>
  <c r="P57" i="2" s="1"/>
  <c r="L58" i="2"/>
  <c r="P58" i="2" s="1"/>
  <c r="L59" i="2"/>
  <c r="P59" i="2" s="1"/>
  <c r="L60" i="2"/>
  <c r="P60" i="2" s="1"/>
  <c r="L61" i="2"/>
  <c r="P61" i="2" s="1"/>
  <c r="L62" i="2"/>
  <c r="P62" i="2" s="1"/>
  <c r="L63" i="2"/>
  <c r="P63" i="2" s="1"/>
  <c r="L64" i="2"/>
  <c r="P64" i="2" s="1"/>
  <c r="L65" i="2"/>
  <c r="P65" i="2" s="1"/>
  <c r="L66" i="2"/>
  <c r="P66" i="2" s="1"/>
  <c r="L67" i="2"/>
  <c r="P67" i="2" s="1"/>
  <c r="L68" i="2"/>
  <c r="P68" i="2" s="1"/>
  <c r="L69" i="2"/>
  <c r="P69" i="2" s="1"/>
  <c r="L70" i="2"/>
  <c r="P70" i="2" s="1"/>
  <c r="L71" i="2"/>
  <c r="P71" i="2" s="1"/>
  <c r="L72" i="2"/>
  <c r="P72" i="2" s="1"/>
  <c r="L73" i="2"/>
  <c r="P73" i="2" s="1"/>
  <c r="L74" i="2"/>
  <c r="P74" i="2" s="1"/>
  <c r="L75" i="2"/>
  <c r="P75" i="2" s="1"/>
  <c r="L76" i="2"/>
  <c r="P76" i="2" s="1"/>
  <c r="L77" i="2"/>
  <c r="P77" i="2" s="1"/>
  <c r="L78" i="2"/>
  <c r="P78" i="2" s="1"/>
  <c r="L79" i="2"/>
  <c r="P79" i="2" s="1"/>
  <c r="L80" i="2"/>
  <c r="P80" i="2" s="1"/>
  <c r="L81" i="2"/>
  <c r="P81" i="2" s="1"/>
  <c r="L82" i="2"/>
  <c r="P82" i="2" s="1"/>
  <c r="L83" i="2"/>
  <c r="P83" i="2" s="1"/>
  <c r="L84" i="2"/>
  <c r="P84" i="2" s="1"/>
  <c r="L85" i="2"/>
  <c r="P85" i="2" s="1"/>
  <c r="L86" i="2"/>
  <c r="P86" i="2" s="1"/>
  <c r="L87" i="2"/>
  <c r="P87" i="2" s="1"/>
  <c r="L88" i="2"/>
  <c r="P88" i="2" s="1"/>
  <c r="L89" i="2"/>
  <c r="P89" i="2" s="1"/>
  <c r="L90" i="2"/>
  <c r="P90" i="2" s="1"/>
  <c r="L91" i="2"/>
  <c r="P91" i="2" s="1"/>
  <c r="L92" i="2"/>
  <c r="P92" i="2" s="1"/>
  <c r="L93" i="2"/>
  <c r="P93" i="2" s="1"/>
  <c r="L94" i="2"/>
  <c r="P94" i="2" s="1"/>
  <c r="L95" i="2"/>
  <c r="P95" i="2" s="1"/>
  <c r="L96" i="2"/>
  <c r="P96" i="2" s="1"/>
  <c r="L97" i="2"/>
  <c r="P97" i="2" s="1"/>
  <c r="L98" i="2"/>
  <c r="P98" i="2" s="1"/>
  <c r="L99" i="2"/>
  <c r="P99" i="2" s="1"/>
  <c r="L100" i="2"/>
  <c r="P100" i="2" s="1"/>
  <c r="L101" i="2"/>
  <c r="P101" i="2" s="1"/>
  <c r="L102" i="2"/>
  <c r="P102" i="2" s="1"/>
  <c r="L103" i="2"/>
  <c r="P103" i="2" s="1"/>
  <c r="L104" i="2"/>
  <c r="P104" i="2" s="1"/>
  <c r="L105" i="2"/>
  <c r="P105" i="2" s="1"/>
  <c r="L106" i="2"/>
  <c r="P106" i="2" s="1"/>
  <c r="L107" i="2"/>
  <c r="P107" i="2" s="1"/>
  <c r="L108" i="2"/>
  <c r="P108" i="2" s="1"/>
  <c r="L109" i="2"/>
  <c r="P109" i="2" s="1"/>
  <c r="L110" i="2"/>
  <c r="P110" i="2" s="1"/>
  <c r="L111" i="2"/>
  <c r="P111" i="2" s="1"/>
  <c r="L112" i="2"/>
  <c r="P112" i="2" s="1"/>
  <c r="L113" i="2"/>
  <c r="P113" i="2" s="1"/>
  <c r="L114" i="2"/>
  <c r="P114" i="2" s="1"/>
  <c r="L115" i="2"/>
  <c r="P115" i="2" s="1"/>
  <c r="L116" i="2"/>
  <c r="P116" i="2" s="1"/>
  <c r="L117" i="2"/>
  <c r="P117" i="2" s="1"/>
  <c r="L118" i="2"/>
  <c r="P118" i="2" s="1"/>
  <c r="L119" i="2"/>
  <c r="P119" i="2" s="1"/>
  <c r="L120" i="2"/>
  <c r="P120" i="2" s="1"/>
  <c r="L121" i="2"/>
  <c r="P121" i="2" s="1"/>
  <c r="L122" i="2"/>
  <c r="P122" i="2" s="1"/>
  <c r="L123" i="2"/>
  <c r="P123" i="2" s="1"/>
  <c r="L124" i="2"/>
  <c r="P124" i="2" s="1"/>
  <c r="L125" i="2"/>
  <c r="P125" i="2" s="1"/>
  <c r="L126" i="2"/>
  <c r="P126" i="2" s="1"/>
  <c r="L127" i="2"/>
  <c r="P127" i="2" s="1"/>
  <c r="L128" i="2"/>
  <c r="P128" i="2" s="1"/>
  <c r="L129" i="2"/>
  <c r="P129" i="2" s="1"/>
  <c r="L130" i="2"/>
  <c r="P130" i="2" s="1"/>
  <c r="L131" i="2"/>
  <c r="P131" i="2" s="1"/>
  <c r="L132" i="2"/>
  <c r="P132" i="2" s="1"/>
  <c r="L133" i="2"/>
  <c r="P133" i="2" s="1"/>
  <c r="L134" i="2"/>
  <c r="P134" i="2" s="1"/>
  <c r="L135" i="2"/>
  <c r="P135" i="2" s="1"/>
  <c r="L136" i="2"/>
  <c r="P136" i="2" s="1"/>
  <c r="L137" i="2"/>
  <c r="P137" i="2" s="1"/>
  <c r="L138" i="2"/>
  <c r="P138" i="2" s="1"/>
  <c r="L139" i="2"/>
  <c r="P139" i="2" s="1"/>
  <c r="L140" i="2"/>
  <c r="P140" i="2" s="1"/>
  <c r="L141" i="2"/>
  <c r="P141" i="2" s="1"/>
  <c r="L142" i="2"/>
  <c r="P142" i="2" s="1"/>
  <c r="L143" i="2"/>
  <c r="P143" i="2" s="1"/>
  <c r="L144" i="2"/>
  <c r="P144" i="2" s="1"/>
  <c r="L145" i="2"/>
  <c r="P145" i="2" s="1"/>
  <c r="L146" i="2"/>
  <c r="P146" i="2" s="1"/>
  <c r="L147" i="2"/>
  <c r="P147" i="2" s="1"/>
  <c r="L148" i="2"/>
  <c r="P148" i="2" s="1"/>
  <c r="L149" i="2"/>
  <c r="P149" i="2" s="1"/>
  <c r="L150" i="2"/>
  <c r="P150" i="2" s="1"/>
  <c r="L151" i="2"/>
  <c r="P151" i="2" s="1"/>
  <c r="L152" i="2"/>
  <c r="P152" i="2" s="1"/>
  <c r="L153" i="2"/>
  <c r="P153" i="2" s="1"/>
  <c r="L154" i="2"/>
  <c r="P154" i="2" s="1"/>
  <c r="L155" i="2"/>
  <c r="P155" i="2" s="1"/>
  <c r="L156" i="2"/>
  <c r="P156" i="2" s="1"/>
  <c r="L157" i="2"/>
  <c r="P157" i="2" s="1"/>
  <c r="L158" i="2"/>
  <c r="P158" i="2" s="1"/>
  <c r="L159" i="2"/>
  <c r="P159" i="2" s="1"/>
  <c r="L160" i="2"/>
  <c r="P160" i="2" s="1"/>
  <c r="L161" i="2"/>
  <c r="P161" i="2" s="1"/>
  <c r="L162" i="2"/>
  <c r="P162" i="2" s="1"/>
  <c r="L163" i="2"/>
  <c r="P163" i="2" s="1"/>
  <c r="L164" i="2"/>
  <c r="P164" i="2" s="1"/>
  <c r="L165" i="2"/>
  <c r="P165" i="2" s="1"/>
  <c r="L166" i="2"/>
  <c r="P166" i="2" s="1"/>
  <c r="L167" i="2"/>
  <c r="P167" i="2" s="1"/>
  <c r="L168" i="2"/>
  <c r="P168" i="2" s="1"/>
  <c r="L169" i="2"/>
  <c r="P169" i="2" s="1"/>
  <c r="L170" i="2"/>
  <c r="P170" i="2" s="1"/>
  <c r="L171" i="2"/>
  <c r="P171" i="2" s="1"/>
  <c r="L172" i="2"/>
  <c r="P172" i="2" s="1"/>
  <c r="L173" i="2"/>
  <c r="P173" i="2" s="1"/>
  <c r="L174" i="2"/>
  <c r="P174" i="2" s="1"/>
  <c r="L175" i="2"/>
  <c r="P175" i="2" s="1"/>
  <c r="L176" i="2"/>
  <c r="P176" i="2" s="1"/>
  <c r="L177" i="2"/>
  <c r="P177" i="2" s="1"/>
  <c r="L178" i="2"/>
  <c r="P178" i="2" s="1"/>
  <c r="L179" i="2"/>
  <c r="P179" i="2" s="1"/>
  <c r="L180" i="2"/>
  <c r="P180" i="2" s="1"/>
  <c r="L181" i="2"/>
  <c r="P181" i="2" s="1"/>
  <c r="L182" i="2"/>
  <c r="P182" i="2" s="1"/>
  <c r="L183" i="2"/>
  <c r="P183" i="2" s="1"/>
  <c r="L184" i="2"/>
  <c r="P184" i="2" s="1"/>
  <c r="L185" i="2"/>
  <c r="P185" i="2" s="1"/>
  <c r="L186" i="2"/>
  <c r="P186" i="2" s="1"/>
  <c r="L187" i="2"/>
  <c r="P187" i="2" s="1"/>
  <c r="L188" i="2"/>
  <c r="P188" i="2" s="1"/>
  <c r="L189" i="2"/>
  <c r="P189" i="2" s="1"/>
  <c r="L190" i="2"/>
  <c r="P190" i="2" s="1"/>
  <c r="L191" i="2"/>
  <c r="P191" i="2" s="1"/>
  <c r="L192" i="2"/>
  <c r="P192" i="2" s="1"/>
  <c r="L193" i="2"/>
  <c r="P193" i="2" s="1"/>
  <c r="L194" i="2"/>
  <c r="P194" i="2" s="1"/>
  <c r="L195" i="2"/>
  <c r="P195" i="2" s="1"/>
  <c r="L196" i="2"/>
  <c r="P196" i="2" s="1"/>
  <c r="L197" i="2"/>
  <c r="P197" i="2" s="1"/>
  <c r="L198" i="2"/>
  <c r="P198" i="2" s="1"/>
  <c r="L199" i="2"/>
  <c r="P199" i="2" s="1"/>
  <c r="L200" i="2"/>
  <c r="P200" i="2" s="1"/>
  <c r="L201" i="2"/>
  <c r="P201" i="2" s="1"/>
  <c r="L202" i="2"/>
  <c r="P202" i="2" s="1"/>
  <c r="L203" i="2"/>
  <c r="P203" i="2" s="1"/>
  <c r="L204" i="2"/>
  <c r="P204" i="2" s="1"/>
  <c r="L205" i="2"/>
  <c r="P205" i="2" s="1"/>
  <c r="L206" i="2"/>
  <c r="P206" i="2" s="1"/>
  <c r="L207" i="2"/>
  <c r="P207" i="2" s="1"/>
  <c r="L208" i="2"/>
  <c r="P208" i="2" s="1"/>
  <c r="L209" i="2"/>
  <c r="P209" i="2" s="1"/>
  <c r="L210" i="2"/>
  <c r="P210" i="2" s="1"/>
  <c r="L211" i="2"/>
  <c r="P211" i="2" s="1"/>
  <c r="L212" i="2"/>
  <c r="P212" i="2" s="1"/>
  <c r="L213" i="2"/>
  <c r="P213" i="2" s="1"/>
  <c r="L214" i="2"/>
  <c r="P214" i="2" s="1"/>
  <c r="L215" i="2"/>
  <c r="P215" i="2" s="1"/>
  <c r="L216" i="2"/>
  <c r="P216" i="2" s="1"/>
  <c r="L217" i="2"/>
  <c r="P217" i="2" s="1"/>
  <c r="L218" i="2"/>
  <c r="P218" i="2" s="1"/>
  <c r="L219" i="2"/>
  <c r="P219" i="2" s="1"/>
  <c r="L220" i="2"/>
  <c r="P220" i="2" s="1"/>
  <c r="L221" i="2"/>
  <c r="P221" i="2" s="1"/>
  <c r="L222" i="2"/>
  <c r="P222" i="2" s="1"/>
  <c r="L223" i="2"/>
  <c r="P223" i="2" s="1"/>
  <c r="L224" i="2"/>
  <c r="P224" i="2" s="1"/>
  <c r="L225" i="2"/>
  <c r="P225" i="2" s="1"/>
  <c r="L226" i="2"/>
  <c r="P226" i="2" s="1"/>
  <c r="L227" i="2"/>
  <c r="P227" i="2" s="1"/>
  <c r="L228" i="2"/>
  <c r="P228" i="2" s="1"/>
  <c r="L229" i="2"/>
  <c r="P229" i="2" s="1"/>
  <c r="L230" i="2"/>
  <c r="P230" i="2" s="1"/>
  <c r="L231" i="2"/>
  <c r="P231" i="2" s="1"/>
  <c r="L232" i="2"/>
  <c r="P232" i="2" s="1"/>
  <c r="L233" i="2"/>
  <c r="P233" i="2" s="1"/>
  <c r="L234" i="2"/>
  <c r="P234" i="2" s="1"/>
  <c r="L235" i="2"/>
  <c r="P235" i="2" s="1"/>
  <c r="L236" i="2"/>
  <c r="P236" i="2" s="1"/>
  <c r="L237" i="2"/>
  <c r="P237" i="2" s="1"/>
  <c r="L238" i="2"/>
  <c r="P238" i="2" s="1"/>
  <c r="L239" i="2"/>
  <c r="P239" i="2" s="1"/>
  <c r="L240" i="2"/>
  <c r="P240" i="2" s="1"/>
  <c r="L241" i="2"/>
  <c r="P241" i="2" s="1"/>
  <c r="L242" i="2"/>
  <c r="P242" i="2" s="1"/>
  <c r="L243" i="2"/>
  <c r="P243" i="2" s="1"/>
  <c r="L244" i="2"/>
  <c r="P244" i="2" s="1"/>
  <c r="L245" i="2"/>
  <c r="P245" i="2" s="1"/>
  <c r="L246" i="2"/>
  <c r="P246" i="2" s="1"/>
  <c r="L247" i="2"/>
  <c r="P247" i="2" s="1"/>
  <c r="L248" i="2"/>
  <c r="P248" i="2" s="1"/>
  <c r="L249" i="2"/>
  <c r="P249" i="2" s="1"/>
  <c r="L250" i="2"/>
  <c r="P250" i="2" s="1"/>
  <c r="L251" i="2"/>
  <c r="P251" i="2" s="1"/>
  <c r="L252" i="2"/>
  <c r="P252" i="2" s="1"/>
  <c r="L253" i="2"/>
  <c r="P253" i="2" s="1"/>
  <c r="L254" i="2"/>
  <c r="P254" i="2" s="1"/>
  <c r="L255" i="2"/>
  <c r="P255" i="2" s="1"/>
  <c r="L256" i="2"/>
  <c r="P256" i="2" s="1"/>
  <c r="L257" i="2"/>
  <c r="P257" i="2" s="1"/>
  <c r="L258" i="2"/>
  <c r="P258" i="2" s="1"/>
  <c r="L259" i="2"/>
  <c r="P259" i="2" s="1"/>
  <c r="L260" i="2"/>
  <c r="P260" i="2" s="1"/>
  <c r="L261" i="2"/>
  <c r="P261" i="2" s="1"/>
  <c r="L262" i="2"/>
  <c r="P262" i="2" s="1"/>
  <c r="L263" i="2"/>
  <c r="P263" i="2" s="1"/>
  <c r="L264" i="2"/>
  <c r="P264" i="2" s="1"/>
  <c r="L265" i="2"/>
  <c r="P265" i="2" s="1"/>
  <c r="L266" i="2"/>
  <c r="P266" i="2" s="1"/>
  <c r="L267" i="2"/>
  <c r="P267" i="2" s="1"/>
  <c r="L268" i="2"/>
  <c r="P268" i="2" s="1"/>
  <c r="L269" i="2"/>
  <c r="P269" i="2" s="1"/>
  <c r="L270" i="2"/>
  <c r="P270" i="2" s="1"/>
  <c r="L271" i="2"/>
  <c r="P271" i="2" s="1"/>
  <c r="L272" i="2"/>
  <c r="P272" i="2" s="1"/>
  <c r="L273" i="2"/>
  <c r="P273" i="2" s="1"/>
  <c r="L274" i="2"/>
  <c r="P274" i="2" s="1"/>
  <c r="L275" i="2"/>
  <c r="P275" i="2" s="1"/>
  <c r="L276" i="2"/>
  <c r="P276" i="2" s="1"/>
  <c r="L277" i="2"/>
  <c r="P277" i="2" s="1"/>
  <c r="L278" i="2"/>
  <c r="P278" i="2" s="1"/>
  <c r="L279" i="2"/>
  <c r="P279" i="2" s="1"/>
  <c r="L280" i="2"/>
  <c r="P280" i="2" s="1"/>
  <c r="L281" i="2"/>
  <c r="P281" i="2" s="1"/>
  <c r="L282" i="2"/>
  <c r="P282" i="2" s="1"/>
  <c r="L283" i="2"/>
  <c r="P283" i="2" s="1"/>
  <c r="L284" i="2"/>
  <c r="P284" i="2" s="1"/>
  <c r="L285" i="2"/>
  <c r="P285" i="2" s="1"/>
  <c r="L286" i="2"/>
  <c r="P286" i="2" s="1"/>
  <c r="L287" i="2"/>
  <c r="P287" i="2" s="1"/>
  <c r="L288" i="2"/>
  <c r="P288" i="2" s="1"/>
  <c r="L289" i="2"/>
  <c r="P289" i="2" s="1"/>
  <c r="L290" i="2"/>
  <c r="P290" i="2" s="1"/>
  <c r="L291" i="2"/>
  <c r="P291" i="2" s="1"/>
  <c r="L292" i="2"/>
  <c r="P292" i="2" s="1"/>
  <c r="L293" i="2"/>
  <c r="P293" i="2" s="1"/>
  <c r="L294" i="2"/>
  <c r="P294" i="2" s="1"/>
  <c r="L295" i="2"/>
  <c r="P295" i="2" s="1"/>
  <c r="L296" i="2"/>
  <c r="P296" i="2" s="1"/>
  <c r="L297" i="2"/>
  <c r="P297" i="2" s="1"/>
  <c r="L298" i="2"/>
  <c r="P298" i="2" s="1"/>
  <c r="L299" i="2"/>
  <c r="P299" i="2" s="1"/>
  <c r="L300" i="2"/>
  <c r="P300" i="2" s="1"/>
  <c r="L301" i="2"/>
  <c r="P301" i="2" s="1"/>
  <c r="L302" i="2"/>
  <c r="P302" i="2" s="1"/>
  <c r="L303" i="2"/>
  <c r="P303" i="2" s="1"/>
  <c r="L304" i="2"/>
  <c r="P304" i="2" s="1"/>
  <c r="L305" i="2"/>
  <c r="P305" i="2" s="1"/>
  <c r="L306" i="2"/>
  <c r="P306" i="2" s="1"/>
  <c r="L307" i="2"/>
  <c r="P307" i="2" s="1"/>
  <c r="L308" i="2"/>
  <c r="P308" i="2" s="1"/>
  <c r="L309" i="2"/>
  <c r="P309" i="2" s="1"/>
  <c r="L310" i="2"/>
  <c r="P310" i="2" s="1"/>
  <c r="L311" i="2"/>
  <c r="P311" i="2" s="1"/>
  <c r="L312" i="2"/>
  <c r="P312" i="2" s="1"/>
  <c r="L313" i="2"/>
  <c r="P313" i="2" s="1"/>
  <c r="L314" i="2"/>
  <c r="P314" i="2" s="1"/>
  <c r="L315" i="2"/>
  <c r="P315" i="2" s="1"/>
  <c r="L316" i="2"/>
  <c r="P316" i="2" s="1"/>
  <c r="L317" i="2"/>
  <c r="P317" i="2" s="1"/>
  <c r="L318" i="2"/>
  <c r="P318" i="2" s="1"/>
  <c r="L319" i="2"/>
  <c r="P319" i="2" s="1"/>
  <c r="L320" i="2"/>
  <c r="P320" i="2" s="1"/>
  <c r="L321" i="2"/>
  <c r="P321" i="2" s="1"/>
  <c r="L322" i="2"/>
  <c r="P322" i="2" s="1"/>
  <c r="L323" i="2"/>
  <c r="P323" i="2" s="1"/>
  <c r="L324" i="2"/>
  <c r="P324" i="2" s="1"/>
  <c r="L325" i="2"/>
  <c r="P325" i="2" s="1"/>
  <c r="L326" i="2"/>
  <c r="P326" i="2" s="1"/>
  <c r="L327" i="2"/>
  <c r="P327" i="2" s="1"/>
  <c r="L328" i="2"/>
  <c r="P328" i="2" s="1"/>
  <c r="L329" i="2"/>
  <c r="P329" i="2" s="1"/>
  <c r="L330" i="2"/>
  <c r="P330" i="2" s="1"/>
  <c r="L331" i="2"/>
  <c r="P331" i="2" s="1"/>
  <c r="L332" i="2"/>
  <c r="P332" i="2" s="1"/>
  <c r="L333" i="2"/>
  <c r="P333" i="2" s="1"/>
  <c r="L334" i="2"/>
  <c r="P334" i="2" s="1"/>
  <c r="L335" i="2"/>
  <c r="P335" i="2" s="1"/>
  <c r="L336" i="2"/>
  <c r="P336" i="2" s="1"/>
  <c r="L337" i="2"/>
  <c r="P337" i="2" s="1"/>
  <c r="L338" i="2"/>
  <c r="P338" i="2" s="1"/>
  <c r="L339" i="2"/>
  <c r="P339" i="2" s="1"/>
  <c r="L340" i="2"/>
  <c r="P340" i="2" s="1"/>
  <c r="L341" i="2"/>
  <c r="P341" i="2" s="1"/>
  <c r="L342" i="2"/>
  <c r="P342" i="2" s="1"/>
  <c r="L343" i="2"/>
  <c r="P343" i="2" s="1"/>
  <c r="L344" i="2"/>
  <c r="P344" i="2" s="1"/>
  <c r="L345" i="2"/>
  <c r="P345" i="2" s="1"/>
  <c r="L346" i="2"/>
  <c r="P346" i="2" s="1"/>
  <c r="L347" i="2"/>
  <c r="P347" i="2" s="1"/>
  <c r="L348" i="2"/>
  <c r="P348" i="2" s="1"/>
  <c r="L349" i="2"/>
  <c r="P349" i="2" s="1"/>
  <c r="L350" i="2"/>
  <c r="P350" i="2" s="1"/>
  <c r="L351" i="2"/>
  <c r="P351" i="2" s="1"/>
  <c r="L352" i="2"/>
  <c r="P352" i="2" s="1"/>
  <c r="L353" i="2"/>
  <c r="P353" i="2" s="1"/>
  <c r="L354" i="2"/>
  <c r="P354" i="2" s="1"/>
  <c r="L355" i="2"/>
  <c r="P355" i="2" s="1"/>
  <c r="L356" i="2"/>
  <c r="P356" i="2" s="1"/>
  <c r="L357" i="2"/>
  <c r="P357" i="2" s="1"/>
  <c r="L358" i="2"/>
  <c r="P358" i="2" s="1"/>
  <c r="L359" i="2"/>
  <c r="P359" i="2" s="1"/>
  <c r="L360" i="2"/>
  <c r="P360" i="2" s="1"/>
  <c r="L361" i="2"/>
  <c r="P361" i="2" s="1"/>
  <c r="L362" i="2"/>
  <c r="P362" i="2" s="1"/>
  <c r="L363" i="2"/>
  <c r="P363" i="2" s="1"/>
  <c r="L364" i="2"/>
  <c r="P364" i="2" s="1"/>
  <c r="L365" i="2"/>
  <c r="P365" i="2" s="1"/>
  <c r="L366" i="2"/>
  <c r="P366" i="2" s="1"/>
  <c r="L367" i="2"/>
  <c r="P367" i="2" s="1"/>
  <c r="L368" i="2"/>
  <c r="P368" i="2" s="1"/>
  <c r="L369" i="2"/>
  <c r="P369" i="2" s="1"/>
  <c r="L370" i="2"/>
  <c r="P370" i="2" s="1"/>
  <c r="L371" i="2"/>
  <c r="P371" i="2" s="1"/>
  <c r="L372" i="2"/>
  <c r="P372" i="2" s="1"/>
  <c r="L373" i="2"/>
  <c r="P373" i="2" s="1"/>
  <c r="L374" i="2"/>
  <c r="P374" i="2" s="1"/>
  <c r="L375" i="2"/>
  <c r="P375" i="2" s="1"/>
  <c r="L376" i="2"/>
  <c r="P376" i="2" s="1"/>
  <c r="L377" i="2"/>
  <c r="P377" i="2" s="1"/>
  <c r="L378" i="2"/>
  <c r="P378" i="2" s="1"/>
  <c r="L379" i="2"/>
  <c r="P379" i="2" s="1"/>
  <c r="L380" i="2"/>
  <c r="P380" i="2" s="1"/>
  <c r="L381" i="2"/>
  <c r="P381" i="2" s="1"/>
  <c r="L382" i="2"/>
  <c r="P382" i="2" s="1"/>
  <c r="L383" i="2"/>
  <c r="P383" i="2" s="1"/>
  <c r="L384" i="2"/>
  <c r="P384" i="2" s="1"/>
  <c r="L385" i="2"/>
  <c r="P385" i="2" s="1"/>
  <c r="L386" i="2"/>
  <c r="P386" i="2" s="1"/>
  <c r="L387" i="2"/>
  <c r="P387" i="2" s="1"/>
  <c r="L388" i="2"/>
  <c r="P388" i="2" s="1"/>
  <c r="L389" i="2"/>
  <c r="P389" i="2" s="1"/>
  <c r="L390" i="2"/>
  <c r="P390" i="2" s="1"/>
  <c r="L391" i="2"/>
  <c r="P391" i="2" s="1"/>
  <c r="L392" i="2"/>
  <c r="P392" i="2" s="1"/>
  <c r="L393" i="2"/>
  <c r="P393" i="2" s="1"/>
  <c r="L394" i="2"/>
  <c r="P394" i="2" s="1"/>
  <c r="L395" i="2"/>
  <c r="P395" i="2" s="1"/>
  <c r="L396" i="2"/>
  <c r="P396" i="2" s="1"/>
  <c r="L397" i="2"/>
  <c r="P397" i="2" s="1"/>
  <c r="L398" i="2"/>
  <c r="P398" i="2" s="1"/>
  <c r="L399" i="2"/>
  <c r="P399" i="2" s="1"/>
  <c r="L400" i="2"/>
  <c r="P400" i="2" s="1"/>
  <c r="L401" i="2"/>
  <c r="P401" i="2" s="1"/>
  <c r="L402" i="2"/>
  <c r="P402" i="2" s="1"/>
  <c r="L403" i="2"/>
  <c r="P403" i="2" s="1"/>
  <c r="L404" i="2"/>
  <c r="P404" i="2" s="1"/>
  <c r="L405" i="2"/>
  <c r="P405" i="2" s="1"/>
  <c r="L406" i="2"/>
  <c r="P406" i="2" s="1"/>
  <c r="L407" i="2"/>
  <c r="P407" i="2" s="1"/>
  <c r="L408" i="2"/>
  <c r="P408" i="2" s="1"/>
  <c r="L409" i="2"/>
  <c r="P409" i="2" s="1"/>
  <c r="L410" i="2"/>
  <c r="P410" i="2" s="1"/>
  <c r="L411" i="2"/>
  <c r="P411" i="2" s="1"/>
  <c r="L412" i="2"/>
  <c r="P412" i="2" s="1"/>
  <c r="L413" i="2"/>
  <c r="P413" i="2" s="1"/>
  <c r="L414" i="2"/>
  <c r="P414" i="2" s="1"/>
  <c r="L415" i="2"/>
  <c r="P415" i="2" s="1"/>
  <c r="L416" i="2"/>
  <c r="P416" i="2" s="1"/>
  <c r="L417" i="2"/>
  <c r="P417" i="2" s="1"/>
  <c r="L418" i="2"/>
  <c r="P418" i="2" s="1"/>
  <c r="L419" i="2"/>
  <c r="P419" i="2" s="1"/>
  <c r="L420" i="2"/>
  <c r="P420" i="2" s="1"/>
  <c r="L421" i="2"/>
  <c r="P421" i="2" s="1"/>
  <c r="L422" i="2"/>
  <c r="P422" i="2" s="1"/>
  <c r="L423" i="2"/>
  <c r="P423" i="2" s="1"/>
  <c r="L424" i="2"/>
  <c r="P424" i="2" s="1"/>
  <c r="L425" i="2"/>
  <c r="P425" i="2" s="1"/>
  <c r="L426" i="2"/>
  <c r="P426" i="2" s="1"/>
  <c r="L427" i="2"/>
  <c r="P427" i="2" s="1"/>
  <c r="L428" i="2"/>
  <c r="P428" i="2" s="1"/>
  <c r="L429" i="2"/>
  <c r="P429" i="2" s="1"/>
  <c r="L430" i="2"/>
  <c r="P430" i="2" s="1"/>
  <c r="L431" i="2"/>
  <c r="P431" i="2" s="1"/>
  <c r="L432" i="2"/>
  <c r="P432" i="2" s="1"/>
  <c r="L433" i="2"/>
  <c r="P433" i="2" s="1"/>
  <c r="L434" i="2"/>
  <c r="P434" i="2" s="1"/>
  <c r="L435" i="2"/>
  <c r="P435" i="2" s="1"/>
  <c r="L436" i="2"/>
  <c r="P436" i="2" s="1"/>
  <c r="L437" i="2"/>
  <c r="P437" i="2" s="1"/>
  <c r="L438" i="2"/>
  <c r="P438" i="2" s="1"/>
  <c r="L439" i="2"/>
  <c r="P439" i="2" s="1"/>
  <c r="L440" i="2"/>
  <c r="P440" i="2" s="1"/>
  <c r="L441" i="2"/>
  <c r="P441" i="2" s="1"/>
  <c r="L442" i="2"/>
  <c r="P442" i="2" s="1"/>
  <c r="L443" i="2"/>
  <c r="P443" i="2" s="1"/>
  <c r="L444" i="2"/>
  <c r="P444" i="2" s="1"/>
  <c r="L445" i="2"/>
  <c r="P445" i="2" s="1"/>
  <c r="L446" i="2"/>
  <c r="P446" i="2" s="1"/>
  <c r="L447" i="2"/>
  <c r="P447" i="2" s="1"/>
  <c r="L448" i="2"/>
  <c r="P448" i="2" s="1"/>
  <c r="L449" i="2"/>
  <c r="P449" i="2" s="1"/>
  <c r="L450" i="2"/>
  <c r="P450" i="2" s="1"/>
  <c r="L451" i="2"/>
  <c r="P451" i="2" s="1"/>
  <c r="L452" i="2"/>
  <c r="P452" i="2" s="1"/>
  <c r="L453" i="2"/>
  <c r="P453" i="2" s="1"/>
  <c r="L454" i="2"/>
  <c r="P454" i="2" s="1"/>
  <c r="L455" i="2"/>
  <c r="P455" i="2" s="1"/>
  <c r="L456" i="2"/>
  <c r="P456" i="2" s="1"/>
  <c r="L457" i="2"/>
  <c r="P457" i="2" s="1"/>
  <c r="L458" i="2"/>
  <c r="P458" i="2" s="1"/>
  <c r="L459" i="2"/>
  <c r="P459" i="2" s="1"/>
  <c r="L460" i="2"/>
  <c r="P460" i="2" s="1"/>
  <c r="L461" i="2"/>
  <c r="P461" i="2" s="1"/>
  <c r="L462" i="2"/>
  <c r="P462" i="2" s="1"/>
  <c r="L463" i="2"/>
  <c r="P463" i="2" s="1"/>
  <c r="L464" i="2"/>
  <c r="P464" i="2" s="1"/>
  <c r="L465" i="2"/>
  <c r="P465" i="2" s="1"/>
  <c r="L466" i="2"/>
  <c r="P466" i="2" s="1"/>
  <c r="L467" i="2"/>
  <c r="P467" i="2" s="1"/>
  <c r="L468" i="2"/>
  <c r="P468" i="2" s="1"/>
  <c r="L469" i="2"/>
  <c r="P469" i="2" s="1"/>
  <c r="L470" i="2"/>
  <c r="P470" i="2" s="1"/>
  <c r="L471" i="2"/>
  <c r="P471" i="2" s="1"/>
  <c r="L472" i="2"/>
  <c r="P472" i="2" s="1"/>
  <c r="L473" i="2"/>
  <c r="P473" i="2" s="1"/>
  <c r="L474" i="2"/>
  <c r="P474" i="2" s="1"/>
  <c r="L475" i="2"/>
  <c r="P475" i="2" s="1"/>
  <c r="L476" i="2"/>
  <c r="P476" i="2" s="1"/>
  <c r="L477" i="2"/>
  <c r="P477" i="2" s="1"/>
  <c r="L478" i="2"/>
  <c r="P478" i="2" s="1"/>
  <c r="L479" i="2"/>
  <c r="P479" i="2" s="1"/>
  <c r="L480" i="2"/>
  <c r="P480" i="2" s="1"/>
  <c r="L481" i="2"/>
  <c r="P481" i="2" s="1"/>
  <c r="L482" i="2"/>
  <c r="P482" i="2" s="1"/>
  <c r="L483" i="2"/>
  <c r="P483" i="2" s="1"/>
  <c r="L484" i="2"/>
  <c r="P484" i="2" s="1"/>
  <c r="L485" i="2"/>
  <c r="P485" i="2" s="1"/>
  <c r="L486" i="2"/>
  <c r="P486" i="2" s="1"/>
  <c r="L487" i="2"/>
  <c r="P487" i="2" s="1"/>
  <c r="L488" i="2"/>
  <c r="P488" i="2" s="1"/>
  <c r="L489" i="2"/>
  <c r="P489" i="2" s="1"/>
  <c r="L490" i="2"/>
  <c r="P490" i="2" s="1"/>
  <c r="L491" i="2"/>
  <c r="P491" i="2" s="1"/>
  <c r="L492" i="2"/>
  <c r="P492" i="2" s="1"/>
  <c r="L493" i="2"/>
  <c r="P493" i="2" s="1"/>
  <c r="L494" i="2"/>
  <c r="P494" i="2" s="1"/>
  <c r="L495" i="2"/>
  <c r="P495" i="2" s="1"/>
  <c r="L496" i="2"/>
  <c r="P496" i="2" s="1"/>
  <c r="L497" i="2"/>
  <c r="P497" i="2" s="1"/>
  <c r="L498" i="2"/>
  <c r="P498" i="2" s="1"/>
  <c r="L499" i="2"/>
  <c r="P499" i="2" s="1"/>
  <c r="L500" i="2"/>
  <c r="P500" i="2" s="1"/>
  <c r="L501" i="2"/>
  <c r="P501" i="2" s="1"/>
  <c r="L502" i="2"/>
  <c r="P502" i="2" s="1"/>
  <c r="L503" i="2"/>
  <c r="P503" i="2" s="1"/>
  <c r="L504" i="2"/>
  <c r="P504" i="2" s="1"/>
  <c r="L505" i="2"/>
  <c r="P505" i="2" s="1"/>
  <c r="L506" i="2"/>
  <c r="P506" i="2" s="1"/>
  <c r="L507" i="2"/>
  <c r="P507" i="2" s="1"/>
  <c r="L508" i="2"/>
  <c r="P508" i="2" s="1"/>
  <c r="L509" i="2"/>
  <c r="P509" i="2" s="1"/>
  <c r="L510" i="2"/>
  <c r="P510" i="2" s="1"/>
  <c r="L511" i="2"/>
  <c r="P511" i="2" s="1"/>
  <c r="L512" i="2"/>
  <c r="P512" i="2" s="1"/>
  <c r="L513" i="2"/>
  <c r="P513" i="2" s="1"/>
  <c r="L514" i="2"/>
  <c r="P514" i="2" s="1"/>
  <c r="L515" i="2"/>
  <c r="P515" i="2" s="1"/>
  <c r="L516" i="2"/>
  <c r="P516" i="2" s="1"/>
  <c r="L517" i="2"/>
  <c r="P517" i="2" s="1"/>
  <c r="L518" i="2"/>
  <c r="P518" i="2" s="1"/>
  <c r="L519" i="2"/>
  <c r="P519" i="2" s="1"/>
  <c r="L520" i="2"/>
  <c r="P520" i="2" s="1"/>
  <c r="L521" i="2"/>
  <c r="P521" i="2" s="1"/>
  <c r="L522" i="2"/>
  <c r="P522" i="2" s="1"/>
  <c r="L523" i="2"/>
  <c r="P523" i="2" s="1"/>
  <c r="L524" i="2"/>
  <c r="P524" i="2" s="1"/>
  <c r="L525" i="2"/>
  <c r="P525" i="2" s="1"/>
  <c r="L526" i="2"/>
  <c r="P526" i="2" s="1"/>
  <c r="L527" i="2"/>
  <c r="P527" i="2" s="1"/>
  <c r="L528" i="2"/>
  <c r="P528" i="2" s="1"/>
  <c r="L529" i="2"/>
  <c r="P529" i="2" s="1"/>
  <c r="L530" i="2"/>
  <c r="P530" i="2" s="1"/>
  <c r="L531" i="2"/>
  <c r="P531" i="2" s="1"/>
  <c r="L532" i="2"/>
  <c r="P532" i="2" s="1"/>
  <c r="L533" i="2"/>
  <c r="P533" i="2" s="1"/>
  <c r="L534" i="2"/>
  <c r="P534" i="2" s="1"/>
  <c r="L535" i="2"/>
  <c r="P535" i="2" s="1"/>
  <c r="L536" i="2"/>
  <c r="P536" i="2" s="1"/>
  <c r="L537" i="2"/>
  <c r="P537" i="2" s="1"/>
  <c r="L538" i="2"/>
  <c r="P538" i="2" s="1"/>
  <c r="L539" i="2"/>
  <c r="P539" i="2" s="1"/>
  <c r="L540" i="2"/>
  <c r="P540" i="2" s="1"/>
  <c r="L541" i="2"/>
  <c r="P541" i="2" s="1"/>
  <c r="L542" i="2"/>
  <c r="P542" i="2" s="1"/>
  <c r="L543" i="2"/>
  <c r="P543" i="2" s="1"/>
  <c r="L544" i="2"/>
  <c r="P544" i="2" s="1"/>
  <c r="L545" i="2"/>
  <c r="P545" i="2" s="1"/>
  <c r="L546" i="2"/>
  <c r="P546" i="2" s="1"/>
  <c r="L547" i="2"/>
  <c r="P547" i="2" s="1"/>
  <c r="L548" i="2"/>
  <c r="P548" i="2" s="1"/>
  <c r="L549" i="2"/>
  <c r="P549" i="2" s="1"/>
  <c r="L550" i="2"/>
  <c r="P550" i="2" s="1"/>
  <c r="L551" i="2"/>
  <c r="P551" i="2" s="1"/>
  <c r="L552" i="2"/>
  <c r="P552" i="2" s="1"/>
  <c r="L553" i="2"/>
  <c r="P553" i="2" s="1"/>
  <c r="L554" i="2"/>
  <c r="P554" i="2" s="1"/>
  <c r="L555" i="2"/>
  <c r="P555" i="2" s="1"/>
  <c r="L556" i="2"/>
  <c r="P556" i="2" s="1"/>
  <c r="L557" i="2"/>
  <c r="P557" i="2" s="1"/>
  <c r="L558" i="2"/>
  <c r="P558" i="2" s="1"/>
  <c r="L559" i="2"/>
  <c r="P559" i="2" s="1"/>
  <c r="L560" i="2"/>
  <c r="P560" i="2" s="1"/>
  <c r="L561" i="2"/>
  <c r="P561" i="2" s="1"/>
  <c r="L562" i="2"/>
  <c r="P562" i="2" s="1"/>
  <c r="L563" i="2"/>
  <c r="P563" i="2" s="1"/>
  <c r="L564" i="2"/>
  <c r="P564" i="2" s="1"/>
  <c r="L565" i="2"/>
  <c r="P565" i="2" s="1"/>
  <c r="L566" i="2"/>
  <c r="P566" i="2" s="1"/>
  <c r="L567" i="2"/>
  <c r="P567" i="2" s="1"/>
  <c r="L568" i="2"/>
  <c r="P568" i="2" s="1"/>
  <c r="L569" i="2"/>
  <c r="P569" i="2" s="1"/>
  <c r="L570" i="2"/>
  <c r="P570" i="2" s="1"/>
  <c r="L571" i="2"/>
  <c r="P571" i="2" s="1"/>
  <c r="L572" i="2"/>
  <c r="P572" i="2" s="1"/>
  <c r="L573" i="2"/>
  <c r="P573" i="2" s="1"/>
  <c r="L574" i="2"/>
  <c r="P574" i="2" s="1"/>
  <c r="L575" i="2"/>
  <c r="P575" i="2" s="1"/>
  <c r="L576" i="2"/>
  <c r="P576" i="2" s="1"/>
  <c r="L577" i="2"/>
  <c r="P577" i="2" s="1"/>
  <c r="L578" i="2"/>
  <c r="P578" i="2" s="1"/>
  <c r="L579" i="2"/>
  <c r="P579" i="2" s="1"/>
  <c r="L580" i="2"/>
  <c r="P580" i="2" s="1"/>
  <c r="L581" i="2"/>
  <c r="P581" i="2" s="1"/>
  <c r="L582" i="2"/>
  <c r="P582" i="2" s="1"/>
  <c r="L583" i="2"/>
  <c r="P583" i="2" s="1"/>
  <c r="L584" i="2"/>
  <c r="P584" i="2" s="1"/>
  <c r="L585" i="2"/>
  <c r="P585" i="2" s="1"/>
  <c r="L586" i="2"/>
  <c r="P586" i="2" s="1"/>
  <c r="L587" i="2"/>
  <c r="P587" i="2" s="1"/>
  <c r="L588" i="2"/>
  <c r="P588" i="2" s="1"/>
  <c r="L589" i="2"/>
  <c r="P589" i="2" s="1"/>
  <c r="L590" i="2"/>
  <c r="P590" i="2" s="1"/>
  <c r="L591" i="2"/>
  <c r="P591" i="2" s="1"/>
  <c r="L592" i="2"/>
  <c r="P592" i="2" s="1"/>
  <c r="L593" i="2"/>
  <c r="P593" i="2" s="1"/>
  <c r="L594" i="2"/>
  <c r="P594" i="2" s="1"/>
  <c r="L595" i="2"/>
  <c r="P595" i="2" s="1"/>
  <c r="L596" i="2"/>
  <c r="P596" i="2" s="1"/>
  <c r="L597" i="2"/>
  <c r="P597" i="2" s="1"/>
  <c r="L598" i="2"/>
  <c r="P598" i="2" s="1"/>
  <c r="L599" i="2"/>
  <c r="P599" i="2" s="1"/>
  <c r="L600" i="2"/>
  <c r="P600" i="2" s="1"/>
  <c r="L601" i="2"/>
  <c r="P601" i="2" s="1"/>
  <c r="L602" i="2"/>
  <c r="P602" i="2" s="1"/>
  <c r="L603" i="2"/>
  <c r="P603" i="2" s="1"/>
  <c r="L604" i="2"/>
  <c r="P604" i="2" s="1"/>
  <c r="L605" i="2"/>
  <c r="P605" i="2" s="1"/>
  <c r="L606" i="2"/>
  <c r="P606" i="2" s="1"/>
  <c r="L607" i="2"/>
  <c r="P607" i="2" s="1"/>
  <c r="L608" i="2"/>
  <c r="P608" i="2" s="1"/>
  <c r="L609" i="2"/>
  <c r="P609" i="2" s="1"/>
  <c r="L610" i="2"/>
  <c r="P610" i="2" s="1"/>
  <c r="L611" i="2"/>
  <c r="P611" i="2" s="1"/>
  <c r="L612" i="2"/>
  <c r="P612" i="2" s="1"/>
  <c r="L613" i="2"/>
  <c r="P613" i="2" s="1"/>
  <c r="L614" i="2"/>
  <c r="P614" i="2" s="1"/>
  <c r="L615" i="2"/>
  <c r="P615" i="2" s="1"/>
  <c r="L616" i="2"/>
  <c r="P616" i="2" s="1"/>
  <c r="L617" i="2"/>
  <c r="P617" i="2" s="1"/>
  <c r="L618" i="2"/>
  <c r="P618" i="2" s="1"/>
  <c r="L619" i="2"/>
  <c r="P619" i="2" s="1"/>
  <c r="L620" i="2"/>
  <c r="P620" i="2" s="1"/>
  <c r="L621" i="2"/>
  <c r="P621" i="2" s="1"/>
  <c r="L622" i="2"/>
  <c r="P622" i="2" s="1"/>
  <c r="L623" i="2"/>
  <c r="P623" i="2" s="1"/>
  <c r="L624" i="2"/>
  <c r="P624" i="2" s="1"/>
  <c r="L625" i="2"/>
  <c r="P625" i="2" s="1"/>
  <c r="L626" i="2"/>
  <c r="P626" i="2" s="1"/>
  <c r="L627" i="2"/>
  <c r="P627" i="2" s="1"/>
  <c r="L628" i="2"/>
  <c r="P628" i="2" s="1"/>
  <c r="L629" i="2"/>
  <c r="P629" i="2" s="1"/>
  <c r="L630" i="2"/>
  <c r="P630" i="2" s="1"/>
  <c r="L631" i="2"/>
  <c r="P631" i="2" s="1"/>
  <c r="L632" i="2"/>
  <c r="P632" i="2" s="1"/>
  <c r="L633" i="2"/>
  <c r="P633" i="2" s="1"/>
  <c r="L634" i="2"/>
  <c r="P634" i="2" s="1"/>
  <c r="L635" i="2"/>
  <c r="P635" i="2" s="1"/>
  <c r="L636" i="2"/>
  <c r="P636" i="2" s="1"/>
  <c r="L637" i="2"/>
  <c r="P637" i="2" s="1"/>
  <c r="L638" i="2"/>
  <c r="P638" i="2" s="1"/>
  <c r="L639" i="2"/>
  <c r="P639" i="2" s="1"/>
  <c r="L640" i="2"/>
  <c r="P640" i="2" s="1"/>
  <c r="L641" i="2"/>
  <c r="P641" i="2" s="1"/>
  <c r="L642" i="2"/>
  <c r="P642" i="2" s="1"/>
  <c r="L643" i="2"/>
  <c r="P643" i="2" s="1"/>
  <c r="L644" i="2"/>
  <c r="P644" i="2" s="1"/>
  <c r="L645" i="2"/>
  <c r="P645" i="2" s="1"/>
  <c r="L646" i="2"/>
  <c r="P646" i="2" s="1"/>
  <c r="L647" i="2"/>
  <c r="P647" i="2" s="1"/>
  <c r="L648" i="2"/>
  <c r="P648" i="2" s="1"/>
  <c r="L649" i="2"/>
  <c r="P649" i="2" s="1"/>
  <c r="L650" i="2"/>
  <c r="P650" i="2" s="1"/>
  <c r="L651" i="2"/>
  <c r="P651" i="2" s="1"/>
  <c r="L652" i="2"/>
  <c r="P652" i="2" s="1"/>
  <c r="L653" i="2"/>
  <c r="P653" i="2" s="1"/>
  <c r="L654" i="2"/>
  <c r="P654" i="2" s="1"/>
  <c r="L655" i="2"/>
  <c r="P655" i="2" s="1"/>
  <c r="L656" i="2"/>
  <c r="P656" i="2" s="1"/>
  <c r="L657" i="2"/>
  <c r="P657" i="2" s="1"/>
  <c r="L658" i="2"/>
  <c r="P658" i="2" s="1"/>
  <c r="L659" i="2"/>
  <c r="P659" i="2" s="1"/>
  <c r="L660" i="2"/>
  <c r="P660" i="2" s="1"/>
  <c r="L661" i="2"/>
  <c r="P661" i="2" s="1"/>
  <c r="L662" i="2"/>
  <c r="P662" i="2" s="1"/>
  <c r="L663" i="2"/>
  <c r="P663" i="2" s="1"/>
  <c r="L664" i="2"/>
  <c r="P664" i="2" s="1"/>
  <c r="L665" i="2"/>
  <c r="P665" i="2" s="1"/>
  <c r="L666" i="2"/>
  <c r="P666" i="2" s="1"/>
  <c r="L667" i="2"/>
  <c r="P667" i="2" s="1"/>
  <c r="L668" i="2"/>
  <c r="P668" i="2" s="1"/>
  <c r="L669" i="2"/>
  <c r="P669" i="2" s="1"/>
  <c r="L670" i="2"/>
  <c r="P670" i="2" s="1"/>
  <c r="L671" i="2"/>
  <c r="P671" i="2" s="1"/>
  <c r="L672" i="2"/>
  <c r="P672" i="2" s="1"/>
  <c r="L673" i="2"/>
  <c r="P673" i="2" s="1"/>
  <c r="L674" i="2"/>
  <c r="P674" i="2" s="1"/>
  <c r="L675" i="2"/>
  <c r="P675" i="2" s="1"/>
  <c r="L676" i="2"/>
  <c r="P676" i="2" s="1"/>
  <c r="L677" i="2"/>
  <c r="P677" i="2" s="1"/>
  <c r="L678" i="2"/>
  <c r="P678" i="2" s="1"/>
  <c r="L679" i="2"/>
  <c r="P679" i="2" s="1"/>
  <c r="L680" i="2"/>
  <c r="P680" i="2" s="1"/>
  <c r="L681" i="2"/>
  <c r="P681" i="2" s="1"/>
  <c r="L682" i="2"/>
  <c r="P682" i="2" s="1"/>
  <c r="L683" i="2"/>
  <c r="P683" i="2" s="1"/>
  <c r="L684" i="2"/>
  <c r="P684" i="2" s="1"/>
  <c r="L685" i="2"/>
  <c r="P685" i="2" s="1"/>
  <c r="L686" i="2"/>
  <c r="P686" i="2" s="1"/>
  <c r="L687" i="2"/>
  <c r="P687" i="2" s="1"/>
  <c r="L688" i="2"/>
  <c r="P688" i="2" s="1"/>
  <c r="L689" i="2"/>
  <c r="P689" i="2" s="1"/>
  <c r="L690" i="2"/>
  <c r="P690" i="2" s="1"/>
  <c r="L691" i="2"/>
  <c r="P691" i="2" s="1"/>
  <c r="L692" i="2"/>
  <c r="P692" i="2" s="1"/>
  <c r="L693" i="2"/>
  <c r="P693" i="2" s="1"/>
  <c r="L694" i="2"/>
  <c r="P694" i="2" s="1"/>
  <c r="L695" i="2"/>
  <c r="P695" i="2" s="1"/>
  <c r="L696" i="2"/>
  <c r="P696" i="2" s="1"/>
  <c r="L697" i="2"/>
  <c r="P697" i="2" s="1"/>
  <c r="L698" i="2"/>
  <c r="P698" i="2" s="1"/>
  <c r="L699" i="2"/>
  <c r="P699" i="2" s="1"/>
  <c r="L700" i="2"/>
  <c r="P700" i="2" s="1"/>
  <c r="L701" i="2"/>
  <c r="P701" i="2" s="1"/>
  <c r="L702" i="2"/>
  <c r="P702" i="2" s="1"/>
  <c r="L703" i="2"/>
  <c r="P703" i="2" s="1"/>
  <c r="L704" i="2"/>
  <c r="P704" i="2" s="1"/>
  <c r="L705" i="2"/>
  <c r="P705" i="2" s="1"/>
  <c r="L706" i="2"/>
  <c r="P706" i="2" s="1"/>
  <c r="L707" i="2"/>
  <c r="P707" i="2" s="1"/>
  <c r="L708" i="2"/>
  <c r="P708" i="2" s="1"/>
  <c r="L709" i="2"/>
  <c r="P709" i="2" s="1"/>
  <c r="L710" i="2"/>
  <c r="P710" i="2" s="1"/>
  <c r="L711" i="2"/>
  <c r="P711" i="2" s="1"/>
  <c r="L712" i="2"/>
  <c r="P712" i="2" s="1"/>
  <c r="L713" i="2"/>
  <c r="P713" i="2" s="1"/>
  <c r="L714" i="2"/>
  <c r="P714" i="2" s="1"/>
  <c r="L715" i="2"/>
  <c r="P715" i="2" s="1"/>
  <c r="L716" i="2"/>
  <c r="P716" i="2" s="1"/>
  <c r="L717" i="2"/>
  <c r="P717" i="2" s="1"/>
  <c r="L718" i="2"/>
  <c r="P718" i="2" s="1"/>
  <c r="L719" i="2"/>
  <c r="P719" i="2" s="1"/>
  <c r="L720" i="2"/>
  <c r="P720" i="2" s="1"/>
  <c r="L721" i="2"/>
  <c r="P721" i="2" s="1"/>
  <c r="L722" i="2"/>
  <c r="P722" i="2" s="1"/>
  <c r="L723" i="2"/>
  <c r="P723" i="2" s="1"/>
  <c r="L724" i="2"/>
  <c r="P724" i="2" s="1"/>
  <c r="L725" i="2"/>
  <c r="P725" i="2" s="1"/>
  <c r="L726" i="2"/>
  <c r="P726" i="2" s="1"/>
  <c r="L727" i="2"/>
  <c r="P727" i="2" s="1"/>
  <c r="L728" i="2"/>
  <c r="P728" i="2" s="1"/>
  <c r="L729" i="2"/>
  <c r="P729" i="2" s="1"/>
  <c r="L730" i="2"/>
  <c r="P730" i="2" s="1"/>
  <c r="L731" i="2"/>
  <c r="P731" i="2" s="1"/>
  <c r="L732" i="2"/>
  <c r="P732" i="2" s="1"/>
  <c r="L733" i="2"/>
  <c r="P733" i="2" s="1"/>
  <c r="L734" i="2"/>
  <c r="P734" i="2" s="1"/>
  <c r="L735" i="2"/>
  <c r="P735" i="2" s="1"/>
  <c r="L736" i="2"/>
  <c r="P736" i="2" s="1"/>
  <c r="L737" i="2"/>
  <c r="P737" i="2" s="1"/>
  <c r="L738" i="2"/>
  <c r="P738" i="2" s="1"/>
  <c r="L739" i="2"/>
  <c r="P739" i="2" s="1"/>
  <c r="L740" i="2"/>
  <c r="P740" i="2" s="1"/>
  <c r="L741" i="2"/>
  <c r="P741" i="2" s="1"/>
  <c r="L742" i="2"/>
  <c r="P742" i="2" s="1"/>
  <c r="L743" i="2"/>
  <c r="P743" i="2" s="1"/>
  <c r="L744" i="2"/>
  <c r="P744" i="2" s="1"/>
  <c r="L745" i="2"/>
  <c r="P745" i="2" s="1"/>
  <c r="L746" i="2"/>
  <c r="P746" i="2" s="1"/>
  <c r="L747" i="2"/>
  <c r="P747" i="2" s="1"/>
  <c r="L748" i="2"/>
  <c r="P748" i="2" s="1"/>
  <c r="L749" i="2"/>
  <c r="P749" i="2" s="1"/>
  <c r="L750" i="2"/>
  <c r="P750" i="2" s="1"/>
  <c r="L751" i="2"/>
  <c r="P751" i="2" s="1"/>
  <c r="L752" i="2"/>
  <c r="P752" i="2" s="1"/>
  <c r="L753" i="2"/>
  <c r="P753" i="2" s="1"/>
  <c r="L754" i="2"/>
  <c r="P754" i="2" s="1"/>
  <c r="L755" i="2"/>
  <c r="P755" i="2" s="1"/>
  <c r="L756" i="2"/>
  <c r="P756" i="2" s="1"/>
  <c r="L757" i="2"/>
  <c r="P757" i="2" s="1"/>
  <c r="L758" i="2"/>
  <c r="P758" i="2" s="1"/>
  <c r="L759" i="2"/>
  <c r="P759" i="2" s="1"/>
  <c r="L760" i="2"/>
  <c r="P760" i="2" s="1"/>
  <c r="L761" i="2"/>
  <c r="P761" i="2" s="1"/>
  <c r="L762" i="2"/>
  <c r="P762" i="2" s="1"/>
  <c r="L763" i="2"/>
  <c r="P763" i="2" s="1"/>
  <c r="L764" i="2"/>
  <c r="P764" i="2" s="1"/>
  <c r="L765" i="2"/>
  <c r="P765" i="2" s="1"/>
  <c r="L766" i="2"/>
  <c r="P766" i="2" s="1"/>
  <c r="L767" i="2"/>
  <c r="P767" i="2" s="1"/>
  <c r="L768" i="2"/>
  <c r="P768" i="2" s="1"/>
  <c r="L769" i="2"/>
  <c r="P769" i="2" s="1"/>
  <c r="L770" i="2"/>
  <c r="P770" i="2" s="1"/>
  <c r="L771" i="2"/>
  <c r="P771" i="2" s="1"/>
  <c r="L772" i="2"/>
  <c r="P772" i="2" s="1"/>
  <c r="L773" i="2"/>
  <c r="P773" i="2" s="1"/>
  <c r="L774" i="2"/>
  <c r="P774" i="2" s="1"/>
  <c r="L775" i="2"/>
  <c r="P775" i="2" s="1"/>
  <c r="L776" i="2"/>
  <c r="P776" i="2" s="1"/>
  <c r="L777" i="2"/>
  <c r="P777" i="2" s="1"/>
  <c r="L778" i="2"/>
  <c r="P778" i="2" s="1"/>
  <c r="L779" i="2"/>
  <c r="P779" i="2" s="1"/>
  <c r="L780" i="2"/>
  <c r="P780" i="2" s="1"/>
  <c r="L781" i="2"/>
  <c r="P781" i="2" s="1"/>
  <c r="L782" i="2"/>
  <c r="P782" i="2" s="1"/>
  <c r="L783" i="2"/>
  <c r="P783" i="2" s="1"/>
  <c r="L784" i="2"/>
  <c r="P784" i="2" s="1"/>
  <c r="L785" i="2"/>
  <c r="P785" i="2" s="1"/>
  <c r="L786" i="2"/>
  <c r="P786" i="2" s="1"/>
  <c r="L787" i="2"/>
  <c r="P787" i="2" s="1"/>
  <c r="L788" i="2"/>
  <c r="P788" i="2" s="1"/>
  <c r="L789" i="2"/>
  <c r="P789" i="2" s="1"/>
  <c r="L790" i="2"/>
  <c r="P790" i="2" s="1"/>
  <c r="L791" i="2"/>
  <c r="P791" i="2" s="1"/>
  <c r="L792" i="2"/>
  <c r="P792" i="2" s="1"/>
  <c r="L793" i="2"/>
  <c r="P793" i="2" s="1"/>
  <c r="L794" i="2"/>
  <c r="P794" i="2" s="1"/>
  <c r="L795" i="2"/>
  <c r="P795" i="2" s="1"/>
  <c r="L796" i="2"/>
  <c r="P796" i="2" s="1"/>
  <c r="L797" i="2"/>
  <c r="P797" i="2" s="1"/>
  <c r="L798" i="2"/>
  <c r="P798" i="2" s="1"/>
  <c r="L799" i="2"/>
  <c r="P799" i="2" s="1"/>
  <c r="L800" i="2"/>
  <c r="P800" i="2" s="1"/>
  <c r="L801" i="2"/>
  <c r="P801" i="2" s="1"/>
  <c r="L802" i="2"/>
  <c r="P802" i="2" s="1"/>
  <c r="L803" i="2"/>
  <c r="P803" i="2" s="1"/>
  <c r="L804" i="2"/>
  <c r="P804" i="2" s="1"/>
  <c r="L805" i="2"/>
  <c r="P805" i="2" s="1"/>
  <c r="L806" i="2"/>
  <c r="P806" i="2" s="1"/>
  <c r="L807" i="2"/>
  <c r="P807" i="2" s="1"/>
  <c r="L808" i="2"/>
  <c r="P808" i="2" s="1"/>
  <c r="L809" i="2"/>
  <c r="P809" i="2" s="1"/>
  <c r="L810" i="2"/>
  <c r="P810" i="2" s="1"/>
  <c r="L811" i="2"/>
  <c r="P811" i="2" s="1"/>
  <c r="L812" i="2"/>
  <c r="P812" i="2" s="1"/>
  <c r="L813" i="2"/>
  <c r="P813" i="2" s="1"/>
  <c r="L814" i="2"/>
  <c r="P814" i="2" s="1"/>
  <c r="L815" i="2"/>
  <c r="P815" i="2" s="1"/>
  <c r="L816" i="2"/>
  <c r="P816" i="2" s="1"/>
  <c r="L817" i="2"/>
  <c r="P817" i="2" s="1"/>
  <c r="L818" i="2"/>
  <c r="P818" i="2" s="1"/>
  <c r="L819" i="2"/>
  <c r="P819" i="2" s="1"/>
  <c r="L820" i="2"/>
  <c r="P820" i="2" s="1"/>
  <c r="L821" i="2"/>
  <c r="P821" i="2" s="1"/>
  <c r="L822" i="2"/>
  <c r="P822" i="2" s="1"/>
  <c r="L823" i="2"/>
  <c r="P823" i="2" s="1"/>
  <c r="L824" i="2"/>
  <c r="P824" i="2" s="1"/>
  <c r="L825" i="2"/>
  <c r="P825" i="2" s="1"/>
  <c r="L826" i="2"/>
  <c r="P826" i="2" s="1"/>
  <c r="L827" i="2"/>
  <c r="P827" i="2" s="1"/>
  <c r="L828" i="2"/>
  <c r="P828" i="2" s="1"/>
  <c r="L829" i="2"/>
  <c r="P829" i="2" s="1"/>
  <c r="L830" i="2"/>
  <c r="P830" i="2" s="1"/>
  <c r="L831" i="2"/>
  <c r="P831" i="2" s="1"/>
  <c r="L832" i="2"/>
  <c r="P832" i="2" s="1"/>
  <c r="L833" i="2"/>
  <c r="P833" i="2" s="1"/>
  <c r="L834" i="2"/>
  <c r="P834" i="2" s="1"/>
  <c r="L835" i="2"/>
  <c r="P835" i="2" s="1"/>
  <c r="L836" i="2"/>
  <c r="P836" i="2" s="1"/>
  <c r="L837" i="2"/>
  <c r="P837" i="2" s="1"/>
  <c r="L838" i="2"/>
  <c r="P838" i="2" s="1"/>
  <c r="L839" i="2"/>
  <c r="P839" i="2" s="1"/>
  <c r="L840" i="2"/>
  <c r="P840" i="2" s="1"/>
  <c r="L841" i="2"/>
  <c r="P841" i="2" s="1"/>
  <c r="L842" i="2"/>
  <c r="P842" i="2" s="1"/>
  <c r="L843" i="2"/>
  <c r="P843" i="2" s="1"/>
  <c r="L844" i="2"/>
  <c r="P844" i="2" s="1"/>
  <c r="L845" i="2"/>
  <c r="P845" i="2" s="1"/>
  <c r="L846" i="2"/>
  <c r="P846" i="2" s="1"/>
  <c r="L847" i="2"/>
  <c r="P847" i="2" s="1"/>
  <c r="L848" i="2"/>
  <c r="P848" i="2" s="1"/>
  <c r="L849" i="2"/>
  <c r="P849" i="2" s="1"/>
  <c r="L850" i="2"/>
  <c r="P850" i="2" s="1"/>
  <c r="L851" i="2"/>
  <c r="P851" i="2" s="1"/>
  <c r="L852" i="2"/>
  <c r="P852" i="2" s="1"/>
  <c r="L853" i="2"/>
  <c r="P853" i="2" s="1"/>
  <c r="L854" i="2"/>
  <c r="P854" i="2" s="1"/>
  <c r="L855" i="2"/>
  <c r="P855" i="2" s="1"/>
  <c r="L856" i="2"/>
  <c r="P856" i="2" s="1"/>
  <c r="L857" i="2"/>
  <c r="P857" i="2" s="1"/>
  <c r="L858" i="2"/>
  <c r="P858" i="2" s="1"/>
  <c r="L859" i="2"/>
  <c r="P859" i="2" s="1"/>
  <c r="L860" i="2"/>
  <c r="P860" i="2" s="1"/>
  <c r="L861" i="2"/>
  <c r="P861" i="2" s="1"/>
  <c r="L862" i="2"/>
  <c r="P862" i="2" s="1"/>
  <c r="L863" i="2"/>
  <c r="P863" i="2" s="1"/>
  <c r="L864" i="2"/>
  <c r="P864" i="2" s="1"/>
  <c r="L865" i="2"/>
  <c r="P865" i="2" s="1"/>
  <c r="L866" i="2"/>
  <c r="P866" i="2" s="1"/>
  <c r="L867" i="2"/>
  <c r="P867" i="2" s="1"/>
  <c r="L868" i="2"/>
  <c r="P868" i="2" s="1"/>
  <c r="L869" i="2"/>
  <c r="P869" i="2" s="1"/>
  <c r="L870" i="2"/>
  <c r="P870" i="2" s="1"/>
  <c r="L871" i="2"/>
  <c r="P871" i="2" s="1"/>
  <c r="L872" i="2"/>
  <c r="P872" i="2" s="1"/>
  <c r="L873" i="2"/>
  <c r="P873" i="2" s="1"/>
  <c r="L874" i="2"/>
  <c r="P874" i="2" s="1"/>
  <c r="L875" i="2"/>
  <c r="P875" i="2" s="1"/>
  <c r="L876" i="2"/>
  <c r="P876" i="2" s="1"/>
  <c r="L877" i="2"/>
  <c r="P877" i="2" s="1"/>
  <c r="L878" i="2"/>
  <c r="P878" i="2" s="1"/>
  <c r="L879" i="2"/>
  <c r="P879" i="2" s="1"/>
  <c r="L880" i="2"/>
  <c r="P880" i="2" s="1"/>
  <c r="L881" i="2"/>
  <c r="P881" i="2" s="1"/>
  <c r="L882" i="2"/>
  <c r="P882" i="2" s="1"/>
  <c r="L883" i="2"/>
  <c r="P883" i="2" s="1"/>
  <c r="L884" i="2"/>
  <c r="P884" i="2" s="1"/>
  <c r="L885" i="2"/>
  <c r="P885" i="2" s="1"/>
  <c r="L886" i="2"/>
  <c r="P886" i="2" s="1"/>
  <c r="L887" i="2"/>
  <c r="P887" i="2" s="1"/>
  <c r="L888" i="2"/>
  <c r="P888" i="2" s="1"/>
  <c r="L889" i="2"/>
  <c r="P889" i="2" s="1"/>
  <c r="L890" i="2"/>
  <c r="P890" i="2" s="1"/>
  <c r="L891" i="2"/>
  <c r="P891" i="2" s="1"/>
  <c r="L892" i="2"/>
  <c r="P892" i="2" s="1"/>
  <c r="L893" i="2"/>
  <c r="P893" i="2" s="1"/>
  <c r="L894" i="2"/>
  <c r="P894" i="2" s="1"/>
  <c r="L895" i="2"/>
  <c r="P895" i="2" s="1"/>
  <c r="L896" i="2"/>
  <c r="P896" i="2" s="1"/>
  <c r="L897" i="2"/>
  <c r="P897" i="2" s="1"/>
  <c r="L898" i="2"/>
  <c r="P898" i="2" s="1"/>
  <c r="L899" i="2"/>
  <c r="P899" i="2" s="1"/>
  <c r="L900" i="2"/>
  <c r="P900" i="2" s="1"/>
  <c r="L901" i="2"/>
  <c r="P901" i="2" s="1"/>
  <c r="L902" i="2"/>
  <c r="P902" i="2" s="1"/>
  <c r="L903" i="2"/>
  <c r="P903" i="2" s="1"/>
  <c r="L904" i="2"/>
  <c r="P904" i="2" s="1"/>
  <c r="L905" i="2"/>
  <c r="P905" i="2" s="1"/>
  <c r="L906" i="2"/>
  <c r="P906" i="2" s="1"/>
  <c r="L907" i="2"/>
  <c r="P907" i="2" s="1"/>
  <c r="L908" i="2"/>
  <c r="P908" i="2" s="1"/>
  <c r="L909" i="2"/>
  <c r="P909" i="2" s="1"/>
  <c r="L910" i="2"/>
  <c r="P910" i="2" s="1"/>
  <c r="L911" i="2"/>
  <c r="P911" i="2" s="1"/>
  <c r="L912" i="2"/>
  <c r="P912" i="2" s="1"/>
  <c r="L913" i="2"/>
  <c r="P913" i="2" s="1"/>
  <c r="L914" i="2"/>
  <c r="P914" i="2" s="1"/>
  <c r="L915" i="2"/>
  <c r="P915" i="2" s="1"/>
  <c r="L916" i="2"/>
  <c r="P916" i="2" s="1"/>
  <c r="L917" i="2"/>
  <c r="P917" i="2" s="1"/>
  <c r="L918" i="2"/>
  <c r="P918" i="2" s="1"/>
  <c r="L919" i="2"/>
  <c r="P919" i="2" s="1"/>
  <c r="L920" i="2"/>
  <c r="P920" i="2" s="1"/>
  <c r="L921" i="2"/>
  <c r="P921" i="2" s="1"/>
  <c r="L922" i="2"/>
  <c r="P922" i="2" s="1"/>
  <c r="L923" i="2"/>
  <c r="P923" i="2" s="1"/>
  <c r="L924" i="2"/>
  <c r="P924" i="2" s="1"/>
  <c r="L925" i="2"/>
  <c r="P925" i="2" s="1"/>
  <c r="L926" i="2"/>
  <c r="P926" i="2" s="1"/>
  <c r="L927" i="2"/>
  <c r="P927" i="2" s="1"/>
  <c r="L928" i="2"/>
  <c r="P928" i="2" s="1"/>
  <c r="L929" i="2"/>
  <c r="P929" i="2" s="1"/>
  <c r="L930" i="2"/>
  <c r="P930" i="2" s="1"/>
  <c r="L931" i="2"/>
  <c r="P931" i="2" s="1"/>
  <c r="L932" i="2"/>
  <c r="P932" i="2" s="1"/>
  <c r="L933" i="2"/>
  <c r="P933" i="2" s="1"/>
  <c r="L934" i="2"/>
  <c r="P934" i="2" s="1"/>
  <c r="L935" i="2"/>
  <c r="P935" i="2" s="1"/>
  <c r="L936" i="2"/>
  <c r="P936" i="2" s="1"/>
  <c r="L937" i="2"/>
  <c r="P937" i="2" s="1"/>
  <c r="L938" i="2"/>
  <c r="P938" i="2" s="1"/>
  <c r="L939" i="2"/>
  <c r="P939" i="2" s="1"/>
  <c r="L940" i="2"/>
  <c r="P940" i="2" s="1"/>
  <c r="L941" i="2"/>
  <c r="P941" i="2" s="1"/>
  <c r="L942" i="2"/>
  <c r="P942" i="2" s="1"/>
  <c r="L943" i="2"/>
  <c r="P943" i="2" s="1"/>
  <c r="L944" i="2"/>
  <c r="P944" i="2" s="1"/>
  <c r="L945" i="2"/>
  <c r="P945" i="2" s="1"/>
  <c r="L946" i="2"/>
  <c r="P946" i="2" s="1"/>
  <c r="L947" i="2"/>
  <c r="P947" i="2" s="1"/>
  <c r="L948" i="2"/>
  <c r="P948" i="2" s="1"/>
  <c r="L949" i="2"/>
  <c r="P949" i="2" s="1"/>
  <c r="L950" i="2"/>
  <c r="P950" i="2" s="1"/>
  <c r="L951" i="2"/>
  <c r="P951" i="2" s="1"/>
  <c r="L952" i="2"/>
  <c r="P952" i="2" s="1"/>
  <c r="L953" i="2"/>
  <c r="P953" i="2" s="1"/>
  <c r="L954" i="2"/>
  <c r="P954" i="2" s="1"/>
  <c r="L955" i="2"/>
  <c r="P955" i="2" s="1"/>
  <c r="L956" i="2"/>
  <c r="P956" i="2" s="1"/>
  <c r="L957" i="2"/>
  <c r="P957" i="2" s="1"/>
  <c r="L958" i="2"/>
  <c r="P958" i="2" s="1"/>
  <c r="L959" i="2"/>
  <c r="P959" i="2" s="1"/>
  <c r="L960" i="2"/>
  <c r="P960" i="2" s="1"/>
  <c r="L961" i="2"/>
  <c r="P961" i="2" s="1"/>
  <c r="L962" i="2"/>
  <c r="P962" i="2" s="1"/>
  <c r="L963" i="2"/>
  <c r="P963" i="2" s="1"/>
  <c r="L964" i="2"/>
  <c r="P964" i="2" s="1"/>
  <c r="L965" i="2"/>
  <c r="P965" i="2" s="1"/>
  <c r="L966" i="2"/>
  <c r="P966" i="2" s="1"/>
  <c r="L967" i="2"/>
  <c r="P967" i="2" s="1"/>
  <c r="L968" i="2"/>
  <c r="P968" i="2" s="1"/>
  <c r="L969" i="2"/>
  <c r="P969" i="2" s="1"/>
  <c r="L970" i="2"/>
  <c r="P970" i="2" s="1"/>
  <c r="L971" i="2"/>
  <c r="P971" i="2" s="1"/>
  <c r="L972" i="2"/>
  <c r="P972" i="2" s="1"/>
  <c r="L973" i="2"/>
  <c r="P973" i="2" s="1"/>
  <c r="L974" i="2"/>
  <c r="P974" i="2" s="1"/>
  <c r="L975" i="2"/>
  <c r="P975" i="2" s="1"/>
  <c r="L976" i="2"/>
  <c r="P976" i="2" s="1"/>
  <c r="L977" i="2"/>
  <c r="P977" i="2" s="1"/>
  <c r="L978" i="2"/>
  <c r="P978" i="2" s="1"/>
  <c r="L979" i="2"/>
  <c r="P979" i="2" s="1"/>
  <c r="L980" i="2"/>
  <c r="P980" i="2" s="1"/>
  <c r="L981" i="2"/>
  <c r="P981" i="2" s="1"/>
  <c r="L982" i="2"/>
  <c r="P982" i="2" s="1"/>
  <c r="L983" i="2"/>
  <c r="P983" i="2" s="1"/>
  <c r="L984" i="2"/>
  <c r="P984" i="2" s="1"/>
  <c r="L985" i="2"/>
  <c r="P985" i="2" s="1"/>
  <c r="L986" i="2"/>
  <c r="P986" i="2" s="1"/>
  <c r="L987" i="2"/>
  <c r="P987" i="2" s="1"/>
  <c r="L988" i="2"/>
  <c r="P988" i="2" s="1"/>
  <c r="L989" i="2"/>
  <c r="P989" i="2" s="1"/>
  <c r="L990" i="2"/>
  <c r="P990" i="2" s="1"/>
  <c r="L991" i="2"/>
  <c r="P991" i="2" s="1"/>
  <c r="L992" i="2"/>
  <c r="P992" i="2" s="1"/>
  <c r="L993" i="2"/>
  <c r="P993" i="2" s="1"/>
  <c r="L994" i="2"/>
  <c r="P994" i="2" s="1"/>
  <c r="L995" i="2"/>
  <c r="P995" i="2" s="1"/>
  <c r="L996" i="2"/>
  <c r="P996" i="2" s="1"/>
  <c r="L997" i="2"/>
  <c r="P997" i="2" s="1"/>
  <c r="L998" i="2"/>
  <c r="P998" i="2" s="1"/>
  <c r="L999" i="2"/>
  <c r="P999" i="2" s="1"/>
  <c r="L1000" i="2"/>
  <c r="P1000" i="2" s="1"/>
  <c r="L1001" i="2"/>
  <c r="P1001" i="2" s="1"/>
  <c r="L1002" i="2"/>
  <c r="P1002" i="2" s="1"/>
  <c r="L1003" i="2"/>
  <c r="P1003" i="2" s="1"/>
  <c r="L1004" i="2"/>
  <c r="P1004" i="2" s="1"/>
  <c r="L1005" i="2"/>
  <c r="P1005" i="2" s="1"/>
  <c r="L1006" i="2"/>
  <c r="P1006" i="2" s="1"/>
  <c r="L1007" i="2"/>
  <c r="P1007" i="2" s="1"/>
  <c r="L1008" i="2"/>
  <c r="P1008" i="2" s="1"/>
  <c r="L1009" i="2"/>
  <c r="P1009" i="2" s="1"/>
  <c r="L1010" i="2"/>
  <c r="P1010" i="2" s="1"/>
  <c r="L1011" i="2"/>
  <c r="P1011" i="2" s="1"/>
  <c r="L1012" i="2"/>
  <c r="P1012" i="2" s="1"/>
  <c r="L1013" i="2"/>
  <c r="P1013" i="2" s="1"/>
  <c r="L1014" i="2"/>
  <c r="P1014" i="2" s="1"/>
  <c r="L1015" i="2"/>
  <c r="P1015" i="2" s="1"/>
  <c r="L1016" i="2"/>
  <c r="P1016" i="2" s="1"/>
  <c r="L1017" i="2"/>
  <c r="P1017" i="2" s="1"/>
  <c r="L1018" i="2"/>
  <c r="P1018" i="2" s="1"/>
  <c r="L1019" i="2"/>
  <c r="P1019" i="2" s="1"/>
  <c r="L1020" i="2"/>
  <c r="P1020" i="2" s="1"/>
  <c r="L1021" i="2"/>
  <c r="P1021" i="2" s="1"/>
  <c r="L1022" i="2"/>
  <c r="P1022" i="2" s="1"/>
  <c r="L1023" i="2"/>
  <c r="P1023" i="2" s="1"/>
  <c r="L1024" i="2"/>
  <c r="P1024" i="2" s="1"/>
  <c r="L1025" i="2"/>
  <c r="P1025" i="2" s="1"/>
  <c r="L1026" i="2"/>
  <c r="P1026" i="2" s="1"/>
  <c r="L1027" i="2"/>
  <c r="P1027" i="2" s="1"/>
  <c r="L1028" i="2"/>
  <c r="P1028" i="2" s="1"/>
  <c r="L1029" i="2"/>
  <c r="P1029" i="2" s="1"/>
  <c r="L1030" i="2"/>
  <c r="P1030" i="2" s="1"/>
  <c r="L1031" i="2"/>
  <c r="P1031" i="2" s="1"/>
  <c r="L1032" i="2"/>
  <c r="P1032" i="2" s="1"/>
  <c r="L1033" i="2"/>
  <c r="P1033" i="2" s="1"/>
  <c r="L1034" i="2"/>
  <c r="P1034" i="2" s="1"/>
  <c r="L1035" i="2"/>
  <c r="P1035" i="2" s="1"/>
  <c r="L1036" i="2"/>
  <c r="P1036" i="2" s="1"/>
  <c r="L1037" i="2"/>
  <c r="P1037" i="2" s="1"/>
  <c r="L1038" i="2"/>
  <c r="P1038" i="2" s="1"/>
  <c r="L1039" i="2"/>
  <c r="P1039" i="2" s="1"/>
  <c r="L1040" i="2"/>
  <c r="P1040" i="2" s="1"/>
  <c r="L1041" i="2"/>
  <c r="P1041" i="2" s="1"/>
  <c r="L1042" i="2"/>
  <c r="P1042" i="2" s="1"/>
  <c r="L1043" i="2"/>
  <c r="P1043" i="2" s="1"/>
  <c r="L1044" i="2"/>
  <c r="P1044" i="2" s="1"/>
  <c r="L1045" i="2"/>
  <c r="P1045" i="2" s="1"/>
  <c r="L1046" i="2"/>
  <c r="P1046" i="2" s="1"/>
  <c r="L1047" i="2"/>
  <c r="P1047" i="2" s="1"/>
  <c r="L1048" i="2"/>
  <c r="P1048" i="2" s="1"/>
  <c r="L1049" i="2"/>
  <c r="P1049" i="2" s="1"/>
  <c r="L1050" i="2"/>
  <c r="P1050" i="2" s="1"/>
  <c r="L1051" i="2"/>
  <c r="P1051" i="2" s="1"/>
  <c r="L1052" i="2"/>
  <c r="P1052" i="2" s="1"/>
  <c r="L1053" i="2"/>
  <c r="P1053" i="2" s="1"/>
  <c r="L1054" i="2"/>
  <c r="P1054" i="2" s="1"/>
  <c r="L1055" i="2"/>
  <c r="P1055" i="2" s="1"/>
  <c r="L1056" i="2"/>
  <c r="P1056" i="2" s="1"/>
  <c r="L1057" i="2"/>
  <c r="P1057" i="2" s="1"/>
  <c r="L1058" i="2"/>
  <c r="P1058" i="2" s="1"/>
  <c r="L1059" i="2"/>
  <c r="P1059" i="2" s="1"/>
  <c r="L1060" i="2"/>
  <c r="P1060" i="2" s="1"/>
  <c r="L1061" i="2"/>
  <c r="P1061" i="2" s="1"/>
  <c r="L1062" i="2"/>
  <c r="P1062" i="2" s="1"/>
  <c r="L1063" i="2"/>
  <c r="P1063" i="2" s="1"/>
  <c r="L1064" i="2"/>
  <c r="P1064" i="2" s="1"/>
  <c r="L1065" i="2"/>
  <c r="P1065" i="2" s="1"/>
  <c r="L1066" i="2"/>
  <c r="P1066" i="2" s="1"/>
  <c r="L1067" i="2"/>
  <c r="P1067" i="2" s="1"/>
  <c r="L1068" i="2"/>
  <c r="P1068" i="2" s="1"/>
  <c r="L1069" i="2"/>
  <c r="P1069" i="2" s="1"/>
  <c r="L1070" i="2"/>
  <c r="P1070" i="2" s="1"/>
  <c r="L1071" i="2"/>
  <c r="P1071" i="2" s="1"/>
  <c r="L1072" i="2"/>
  <c r="P1072" i="2" s="1"/>
  <c r="L1073" i="2"/>
  <c r="P1073" i="2" s="1"/>
  <c r="L1074" i="2"/>
  <c r="P1074" i="2" s="1"/>
  <c r="L1075" i="2"/>
  <c r="P1075" i="2" s="1"/>
  <c r="L1076" i="2"/>
  <c r="P1076" i="2" s="1"/>
  <c r="L1077" i="2"/>
  <c r="P1077" i="2" s="1"/>
  <c r="L1078" i="2"/>
  <c r="P1078" i="2" s="1"/>
  <c r="L1079" i="2"/>
  <c r="P1079" i="2" s="1"/>
  <c r="L1080" i="2"/>
  <c r="P1080" i="2" s="1"/>
  <c r="L1081" i="2"/>
  <c r="P1081" i="2" s="1"/>
  <c r="L1082" i="2"/>
  <c r="P1082" i="2" s="1"/>
  <c r="L1083" i="2"/>
  <c r="P1083" i="2" s="1"/>
  <c r="L1084" i="2"/>
  <c r="P1084" i="2" s="1"/>
  <c r="L1085" i="2"/>
  <c r="P1085" i="2" s="1"/>
  <c r="L1086" i="2"/>
  <c r="P1086" i="2" s="1"/>
  <c r="L1087" i="2"/>
  <c r="P1087" i="2" s="1"/>
  <c r="L1088" i="2"/>
  <c r="P1088" i="2" s="1"/>
  <c r="L1089" i="2"/>
  <c r="P1089" i="2" s="1"/>
  <c r="L1090" i="2"/>
  <c r="P1090" i="2" s="1"/>
  <c r="L1091" i="2"/>
  <c r="P1091" i="2" s="1"/>
  <c r="L1092" i="2"/>
  <c r="P1092" i="2" s="1"/>
  <c r="L1093" i="2"/>
  <c r="P1093" i="2" s="1"/>
  <c r="L1094" i="2"/>
  <c r="P1094" i="2" s="1"/>
  <c r="L1095" i="2"/>
  <c r="P1095" i="2" s="1"/>
  <c r="L1096" i="2"/>
  <c r="P1096" i="2" s="1"/>
  <c r="L1097" i="2"/>
  <c r="P1097" i="2" s="1"/>
  <c r="L1098" i="2"/>
  <c r="P1098" i="2" s="1"/>
  <c r="L1099" i="2"/>
  <c r="P1099" i="2" s="1"/>
  <c r="L1100" i="2"/>
  <c r="P1100" i="2" s="1"/>
  <c r="L1101" i="2"/>
  <c r="P1101" i="2" s="1"/>
  <c r="L1102" i="2"/>
  <c r="P1102" i="2" s="1"/>
  <c r="L1103" i="2"/>
  <c r="P1103" i="2" s="1"/>
  <c r="L1104" i="2"/>
  <c r="P1104" i="2" s="1"/>
  <c r="L1105" i="2"/>
  <c r="P1105" i="2" s="1"/>
  <c r="L1106" i="2"/>
  <c r="P1106" i="2" s="1"/>
  <c r="L1107" i="2"/>
  <c r="P1107" i="2" s="1"/>
  <c r="L1108" i="2"/>
  <c r="P1108" i="2" s="1"/>
  <c r="L1109" i="2"/>
  <c r="P1109" i="2" s="1"/>
  <c r="L1110" i="2"/>
  <c r="P1110" i="2" s="1"/>
  <c r="L1111" i="2"/>
  <c r="P1111" i="2" s="1"/>
  <c r="L1112" i="2"/>
  <c r="P1112" i="2" s="1"/>
  <c r="L1113" i="2"/>
  <c r="P1113" i="2" s="1"/>
  <c r="L1114" i="2"/>
  <c r="P1114" i="2" s="1"/>
  <c r="L1115" i="2"/>
  <c r="P1115" i="2" s="1"/>
  <c r="L1116" i="2"/>
  <c r="P1116" i="2" s="1"/>
  <c r="L1117" i="2"/>
  <c r="P1117" i="2" s="1"/>
  <c r="L1118" i="2"/>
  <c r="P1118" i="2" s="1"/>
  <c r="L1119" i="2"/>
  <c r="P1119" i="2" s="1"/>
  <c r="L1120" i="2"/>
  <c r="P1120" i="2" s="1"/>
  <c r="L1121" i="2"/>
  <c r="P1121" i="2" s="1"/>
  <c r="L1122" i="2"/>
  <c r="P1122" i="2" s="1"/>
  <c r="L1123" i="2"/>
  <c r="P1123" i="2" s="1"/>
  <c r="L1124" i="2"/>
  <c r="P1124" i="2" s="1"/>
  <c r="L1125" i="2"/>
  <c r="P1125" i="2" s="1"/>
  <c r="L1126" i="2"/>
  <c r="P1126" i="2" s="1"/>
  <c r="L1127" i="2"/>
  <c r="P1127" i="2" s="1"/>
  <c r="L1128" i="2"/>
  <c r="P1128" i="2" s="1"/>
  <c r="L1129" i="2"/>
  <c r="P1129" i="2" s="1"/>
  <c r="L1130" i="2"/>
  <c r="P1130" i="2" s="1"/>
  <c r="L1131" i="2"/>
  <c r="P1131" i="2" s="1"/>
  <c r="L1132" i="2"/>
  <c r="P1132" i="2" s="1"/>
  <c r="L1133" i="2"/>
  <c r="P1133" i="2" s="1"/>
  <c r="L1134" i="2"/>
  <c r="P1134" i="2" s="1"/>
  <c r="L1135" i="2"/>
  <c r="P1135" i="2" s="1"/>
  <c r="L1136" i="2"/>
  <c r="P1136" i="2" s="1"/>
  <c r="L1137" i="2"/>
  <c r="P1137" i="2" s="1"/>
  <c r="L1138" i="2"/>
  <c r="P1138" i="2" s="1"/>
  <c r="L1139" i="2"/>
  <c r="P1139" i="2" s="1"/>
  <c r="L1140" i="2"/>
  <c r="P1140" i="2" s="1"/>
  <c r="L1141" i="2"/>
  <c r="P1141" i="2" s="1"/>
  <c r="L1142" i="2"/>
  <c r="P1142" i="2" s="1"/>
  <c r="L1143" i="2"/>
  <c r="P1143" i="2" s="1"/>
  <c r="L1144" i="2"/>
  <c r="P1144" i="2" s="1"/>
  <c r="L1145" i="2"/>
  <c r="P1145" i="2" s="1"/>
  <c r="L1146" i="2"/>
  <c r="P1146" i="2" s="1"/>
  <c r="L1147" i="2"/>
  <c r="P1147" i="2" s="1"/>
  <c r="L1148" i="2"/>
  <c r="P1148" i="2" s="1"/>
  <c r="L1149" i="2"/>
  <c r="P1149" i="2" s="1"/>
  <c r="L1150" i="2"/>
  <c r="P1150" i="2" s="1"/>
  <c r="L1151" i="2"/>
  <c r="P1151" i="2" s="1"/>
  <c r="L1152" i="2"/>
  <c r="P1152" i="2" s="1"/>
  <c r="L1153" i="2"/>
  <c r="P1153" i="2" s="1"/>
  <c r="L1154" i="2"/>
  <c r="P1154" i="2" s="1"/>
  <c r="L1155" i="2"/>
  <c r="P1155" i="2" s="1"/>
  <c r="L1156" i="2"/>
  <c r="P1156" i="2" s="1"/>
  <c r="L1157" i="2"/>
  <c r="P1157" i="2" s="1"/>
  <c r="L1158" i="2"/>
  <c r="P1158" i="2" s="1"/>
  <c r="L1159" i="2"/>
  <c r="P1159" i="2" s="1"/>
  <c r="L1160" i="2"/>
  <c r="P1160" i="2" s="1"/>
  <c r="L1161" i="2"/>
  <c r="P1161" i="2" s="1"/>
  <c r="L1162" i="2"/>
  <c r="P1162" i="2" s="1"/>
  <c r="L1163" i="2"/>
  <c r="P1163" i="2" s="1"/>
  <c r="L1164" i="2"/>
  <c r="P1164" i="2" s="1"/>
  <c r="L1165" i="2"/>
  <c r="P1165" i="2" s="1"/>
  <c r="L1166" i="2"/>
  <c r="P1166" i="2" s="1"/>
  <c r="L1167" i="2"/>
  <c r="P1167" i="2" s="1"/>
  <c r="L1168" i="2"/>
  <c r="P1168" i="2" s="1"/>
  <c r="L1169" i="2"/>
  <c r="P1169" i="2" s="1"/>
  <c r="L1170" i="2"/>
  <c r="P1170" i="2" s="1"/>
  <c r="L1171" i="2"/>
  <c r="P1171" i="2" s="1"/>
  <c r="L1172" i="2"/>
  <c r="P1172" i="2" s="1"/>
  <c r="L1173" i="2"/>
  <c r="P1173" i="2" s="1"/>
  <c r="L1174" i="2"/>
  <c r="P1174" i="2" s="1"/>
  <c r="L1175" i="2"/>
  <c r="P1175" i="2" s="1"/>
  <c r="L1176" i="2"/>
  <c r="P1176" i="2" s="1"/>
  <c r="L1177" i="2"/>
  <c r="P1177" i="2" s="1"/>
  <c r="L1178" i="2"/>
  <c r="P1178" i="2" s="1"/>
  <c r="L1179" i="2"/>
  <c r="P1179" i="2" s="1"/>
  <c r="L1180" i="2"/>
  <c r="P1180" i="2" s="1"/>
  <c r="L1181" i="2"/>
  <c r="P1181" i="2" s="1"/>
  <c r="L1182" i="2"/>
  <c r="P1182" i="2" s="1"/>
  <c r="L1183" i="2"/>
  <c r="P1183" i="2" s="1"/>
  <c r="L1184" i="2"/>
  <c r="P1184" i="2" s="1"/>
  <c r="L1185" i="2"/>
  <c r="P1185" i="2" s="1"/>
  <c r="L1186" i="2"/>
  <c r="P1186" i="2" s="1"/>
  <c r="L1187" i="2"/>
  <c r="P1187" i="2" s="1"/>
  <c r="L1188" i="2"/>
  <c r="P1188" i="2" s="1"/>
  <c r="L1189" i="2"/>
  <c r="P1189" i="2" s="1"/>
  <c r="L1190" i="2"/>
  <c r="P1190" i="2" s="1"/>
  <c r="L1191" i="2"/>
  <c r="P1191" i="2" s="1"/>
  <c r="L1192" i="2"/>
  <c r="P1192" i="2" s="1"/>
  <c r="L1193" i="2"/>
  <c r="P1193" i="2" s="1"/>
  <c r="L1194" i="2"/>
  <c r="P1194" i="2" s="1"/>
  <c r="L1195" i="2"/>
  <c r="P1195" i="2" s="1"/>
  <c r="L1196" i="2"/>
  <c r="P1196" i="2" s="1"/>
  <c r="L1197" i="2"/>
  <c r="P1197" i="2" s="1"/>
  <c r="L1198" i="2"/>
  <c r="P1198" i="2" s="1"/>
  <c r="L1199" i="2"/>
  <c r="P1199" i="2" s="1"/>
  <c r="L1200" i="2"/>
  <c r="P1200" i="2" s="1"/>
  <c r="L1201" i="2"/>
  <c r="P1201" i="2" s="1"/>
  <c r="C1210" i="2" l="1"/>
  <c r="C1212" i="2" s="1"/>
</calcChain>
</file>

<file path=xl/sharedStrings.xml><?xml version="1.0" encoding="utf-8"?>
<sst xmlns="http://schemas.openxmlformats.org/spreadsheetml/2006/main" count="21375" uniqueCount="4302">
  <si>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</si>
  <si>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</si>
  <si>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</si>
  <si>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</si>
  <si>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</si>
  <si>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</si>
  <si>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</si>
  <si>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</si>
  <si>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</si>
  <si>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</si>
  <si>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</si>
  <si>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</si>
  <si>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</si>
  <si>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</si>
  <si>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</si>
  <si>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</si>
  <si>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</si>
  <si>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</si>
  <si>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</si>
  <si>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</si>
  <si>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</si>
  <si>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</si>
  <si>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</si>
  <si>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</si>
  <si>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</si>
  <si>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</si>
  <si>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</si>
  <si>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</si>
  <si>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</si>
  <si>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</si>
  <si>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</si>
  <si>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</si>
  <si>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</si>
  <si>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</si>
  <si>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</si>
  <si>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</si>
  <si>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</si>
  <si>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</si>
  <si>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</si>
  <si>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</si>
  <si>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</si>
  <si>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</si>
  <si>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</si>
  <si>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</si>
  <si>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</si>
  <si>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</si>
  <si>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</si>
  <si>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</si>
  <si>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</si>
  <si>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</si>
  <si>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</si>
  <si>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</si>
  <si>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</si>
  <si>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</si>
  <si>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</si>
  <si>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</si>
  <si>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</si>
  <si>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</si>
  <si>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</si>
  <si>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</si>
  <si>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</si>
  <si>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</si>
  <si>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</si>
  <si>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</si>
  <si>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</si>
  <si>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</si>
  <si>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</si>
  <si>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</si>
  <si>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</si>
  <si>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</si>
  <si>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</si>
  <si>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</si>
  <si>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</si>
  <si>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</si>
  <si>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</si>
  <si>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</si>
  <si>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</si>
  <si>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</si>
  <si>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</si>
  <si>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</si>
  <si>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</si>
  <si>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</si>
  <si>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</si>
  <si>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</si>
  <si>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</si>
  <si>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</si>
  <si>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</si>
  <si>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</si>
  <si>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</si>
  <si>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</si>
  <si>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</si>
  <si>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</si>
  <si>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</si>
  <si>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</si>
  <si>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</si>
  <si>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</si>
  <si>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</si>
  <si>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</si>
  <si>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</si>
  <si>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</si>
  <si>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</si>
  <si>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</si>
  <si>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</si>
  <si>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</si>
  <si>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</si>
  <si>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</si>
  <si>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</si>
  <si>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</si>
  <si>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</si>
  <si>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</si>
  <si>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</si>
  <si>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</si>
  <si>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</si>
  <si>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</si>
  <si>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</si>
  <si>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</si>
  <si>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</si>
  <si>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</si>
  <si>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</si>
  <si>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</si>
  <si>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</si>
  <si>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</si>
  <si>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</si>
  <si>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</si>
  <si>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</si>
  <si>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</si>
  <si>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</si>
  <si>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</si>
  <si>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</si>
  <si>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</si>
  <si>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</si>
  <si>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</si>
  <si>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</si>
  <si>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</si>
  <si>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</si>
  <si>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</si>
  <si>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</si>
  <si>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</si>
  <si>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</si>
  <si>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</si>
  <si>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</si>
  <si>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</si>
  <si>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</si>
  <si>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</si>
  <si>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</si>
  <si>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</si>
  <si>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</si>
  <si>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</si>
  <si>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</si>
  <si>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</si>
  <si>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</si>
  <si>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</si>
  <si>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</si>
  <si>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</si>
  <si>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</si>
  <si>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</si>
  <si>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</si>
  <si>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</si>
  <si>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</si>
  <si>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</si>
  <si>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</si>
  <si>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</si>
  <si>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</si>
  <si>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</si>
  <si>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</si>
  <si>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</si>
  <si>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</si>
  <si>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</si>
  <si>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</si>
  <si>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</si>
  <si>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</si>
  <si>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</si>
  <si>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</si>
  <si>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</si>
  <si>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</si>
  <si>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</si>
  <si>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</si>
  <si>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</si>
  <si>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</si>
  <si>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</si>
  <si>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</si>
  <si>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</si>
  <si>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</si>
  <si>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</si>
  <si>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</si>
  <si>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</si>
  <si>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</si>
  <si>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</si>
  <si>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</si>
  <si>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</si>
  <si>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</si>
  <si>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</si>
  <si>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</si>
  <si>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</si>
  <si>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</si>
  <si>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</si>
  <si>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</si>
  <si>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</si>
  <si>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</si>
  <si>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</si>
  <si>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</si>
  <si>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</si>
  <si>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</si>
  <si>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</si>
  <si>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</si>
  <si>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</si>
  <si>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</si>
  <si>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</si>
  <si>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</si>
  <si>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</si>
  <si>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</si>
  <si>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</si>
  <si>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</si>
  <si>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</si>
  <si>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</si>
  <si>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</si>
  <si>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</si>
  <si>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</si>
  <si>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</si>
  <si>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</si>
  <si>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</si>
  <si>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</si>
  <si>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</si>
  <si>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</si>
  <si>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</si>
  <si>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</si>
  <si>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</si>
  <si>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</si>
  <si>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</si>
  <si>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</si>
  <si>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</si>
  <si>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</si>
  <si>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</si>
  <si>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</si>
  <si>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</si>
  <si>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</si>
  <si>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</si>
  <si>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</si>
  <si>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</si>
  <si>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</si>
  <si>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</si>
  <si>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</si>
  <si>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</si>
  <si>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</si>
  <si>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</si>
  <si>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</si>
  <si>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</si>
  <si>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</si>
  <si>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</si>
  <si>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</si>
  <si>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</si>
  <si>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</si>
  <si>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</si>
  <si>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</si>
  <si>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</si>
  <si>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</si>
  <si>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</si>
  <si>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</si>
  <si>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</si>
  <si>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</si>
  <si>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</si>
  <si>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</si>
  <si>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</si>
  <si>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</si>
  <si>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</si>
  <si>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</si>
  <si>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</si>
  <si>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</si>
  <si>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</si>
  <si>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</si>
  <si>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</si>
  <si>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</si>
  <si>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</si>
  <si>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</si>
  <si>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</si>
  <si>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</si>
  <si>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</si>
  <si>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</si>
  <si>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</si>
  <si>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</si>
  <si>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</si>
  <si>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</si>
  <si>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</si>
  <si>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</si>
  <si>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</si>
  <si>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</si>
  <si>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</si>
  <si>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</si>
  <si>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</si>
  <si>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</si>
  <si>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</si>
  <si>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</si>
  <si>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</si>
  <si>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</si>
  <si>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</si>
  <si>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</si>
  <si>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</si>
  <si>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</si>
  <si>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</si>
  <si>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</si>
  <si>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</si>
  <si>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</si>
  <si>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</si>
  <si>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</si>
  <si>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</si>
  <si>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</si>
  <si>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</si>
  <si>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</si>
  <si>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</si>
  <si>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</si>
  <si>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</si>
  <si>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</si>
  <si>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</si>
  <si>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</si>
  <si>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</si>
  <si>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</si>
  <si>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</si>
  <si>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</si>
  <si>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</si>
  <si>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</si>
  <si>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</si>
  <si>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</si>
  <si>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</si>
  <si>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</si>
  <si>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</si>
  <si>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</si>
  <si>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</si>
  <si>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</si>
  <si>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</si>
  <si>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</si>
  <si>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</si>
  <si>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</si>
  <si>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</si>
  <si>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</si>
  <si>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</si>
  <si>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</si>
  <si>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</si>
  <si>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</si>
  <si>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</si>
  <si>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</si>
  <si>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</si>
  <si>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</si>
  <si>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</si>
  <si>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</si>
  <si>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</si>
  <si>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</si>
  <si>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</si>
  <si>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</si>
  <si>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</si>
  <si>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</si>
  <si>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</si>
  <si>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</si>
  <si>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</si>
  <si>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</si>
  <si>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</si>
  <si>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</si>
  <si>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</si>
  <si>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</si>
  <si>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</si>
  <si>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</si>
  <si>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</si>
  <si>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</si>
  <si>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</si>
  <si>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</si>
  <si>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</si>
  <si>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</si>
  <si>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</si>
  <si>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</si>
  <si>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</si>
  <si>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</si>
  <si>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</si>
  <si>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</si>
  <si>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</si>
  <si>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</si>
  <si>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</si>
  <si>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</si>
  <si>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</si>
  <si>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</si>
  <si>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</si>
  <si>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</si>
  <si>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</si>
  <si>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</si>
  <si>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</si>
  <si>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</si>
  <si>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</si>
  <si>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</si>
  <si>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</si>
  <si>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</si>
  <si>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</si>
  <si>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</si>
  <si>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</si>
  <si>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</si>
  <si>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</si>
  <si>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</si>
  <si>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</si>
  <si>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</si>
  <si>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</si>
  <si>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</si>
  <si>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</si>
  <si>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</si>
  <si>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</si>
  <si>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</si>
  <si>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</si>
  <si>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</si>
  <si>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</si>
  <si>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</si>
  <si>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</si>
  <si>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</si>
  <si>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</si>
  <si>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</si>
  <si>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</si>
  <si>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</si>
  <si>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</si>
  <si>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</si>
  <si>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</si>
  <si>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</si>
  <si>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</si>
  <si>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</si>
  <si>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</si>
  <si>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</si>
  <si>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</si>
  <si>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</si>
  <si>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</si>
  <si>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</si>
  <si>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</si>
  <si>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</si>
  <si>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</si>
  <si>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</si>
  <si>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</si>
  <si>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</si>
  <si>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</si>
  <si>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</si>
  <si>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</si>
  <si>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</si>
  <si>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</si>
  <si>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</si>
  <si>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</si>
  <si>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</si>
  <si>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</si>
  <si>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</si>
  <si>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</si>
  <si>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</si>
  <si>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</si>
  <si>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</si>
  <si>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</si>
  <si>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</si>
  <si>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</si>
  <si>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</si>
  <si>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</si>
  <si>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</si>
  <si>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</si>
  <si>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</si>
  <si>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</si>
  <si>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</si>
  <si>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</si>
  <si>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</si>
  <si>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</si>
  <si>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</si>
  <si>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</si>
  <si>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</si>
  <si>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</si>
  <si>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</si>
  <si>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</si>
  <si>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</si>
  <si>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</si>
  <si>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</si>
  <si>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</si>
  <si>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</si>
  <si>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</si>
  <si>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</si>
  <si>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</si>
  <si>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</si>
  <si>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</si>
  <si>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</si>
  <si>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</si>
  <si>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</si>
  <si>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</si>
  <si>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</si>
  <si>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</si>
  <si>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</si>
  <si>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</si>
  <si>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</si>
  <si>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</si>
  <si>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</si>
  <si>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</si>
  <si>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</si>
  <si>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</si>
  <si>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</si>
  <si>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</si>
  <si>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</si>
  <si>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</si>
  <si>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</si>
  <si>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</si>
  <si>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</si>
  <si>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</si>
  <si>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</si>
  <si>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</si>
  <si>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</si>
  <si>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</si>
  <si>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</si>
  <si>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</si>
  <si>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</si>
  <si>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</si>
  <si>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</si>
  <si>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</si>
  <si>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</si>
  <si>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</si>
  <si>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</si>
  <si>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</si>
  <si>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</si>
  <si>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</si>
  <si>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</si>
  <si>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</si>
  <si>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</si>
  <si>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</si>
  <si>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</si>
  <si>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</si>
  <si>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</si>
  <si>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</si>
  <si>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</si>
  <si>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</si>
  <si>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</si>
  <si>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</si>
  <si>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</si>
  <si>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</si>
  <si>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</si>
  <si>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</si>
  <si>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</si>
  <si>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</si>
  <si>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</si>
  <si>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</si>
  <si>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</si>
  <si>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</si>
  <si>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</si>
  <si>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</si>
  <si>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</si>
  <si>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</si>
  <si>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</si>
  <si>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</si>
  <si>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</si>
  <si>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</si>
  <si>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</si>
  <si>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</si>
  <si>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</si>
  <si>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</si>
  <si>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</si>
  <si>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</si>
  <si>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</si>
  <si>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</si>
  <si>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</si>
  <si>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</si>
  <si>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</si>
  <si>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</si>
  <si>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</si>
  <si>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</si>
  <si>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</si>
  <si>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</si>
  <si>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</si>
  <si>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</si>
  <si>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</si>
  <si>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</si>
  <si>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</si>
  <si>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</si>
  <si>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</si>
  <si>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</si>
  <si>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</si>
  <si>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</si>
  <si>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</si>
  <si>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</si>
  <si>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</si>
  <si>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</si>
  <si>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</si>
  <si>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</si>
  <si>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</si>
  <si>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</si>
  <si>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</si>
  <si>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</si>
  <si>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</si>
  <si>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</si>
  <si>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</si>
  <si>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</si>
  <si>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</si>
  <si>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</si>
  <si>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</si>
  <si>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</si>
  <si>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</si>
  <si>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</si>
  <si>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</si>
  <si>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</si>
  <si>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</si>
  <si>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</si>
  <si>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</si>
  <si>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</si>
  <si>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</si>
  <si>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</si>
  <si>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</si>
  <si>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</si>
  <si>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</si>
  <si>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</si>
  <si>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</si>
  <si>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</si>
  <si>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</si>
  <si>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</si>
  <si>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</si>
  <si>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</si>
  <si>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</si>
  <si>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</si>
  <si>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</si>
  <si>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</si>
  <si>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</si>
  <si>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</si>
  <si>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</si>
  <si>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</si>
  <si>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</si>
  <si>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</si>
  <si>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</si>
  <si>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</si>
  <si>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</si>
  <si>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</si>
  <si>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</si>
  <si>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</si>
  <si>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</si>
  <si>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</si>
  <si>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</si>
  <si>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</si>
  <si>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</si>
  <si>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</si>
  <si>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</si>
  <si>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</si>
  <si>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</si>
  <si>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</si>
  <si>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</si>
  <si>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</si>
  <si>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</si>
  <si>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</si>
  <si>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</si>
  <si>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</si>
  <si>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</si>
  <si>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</si>
  <si>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</si>
  <si>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</si>
  <si>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</si>
  <si>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</si>
  <si>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</si>
  <si>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</si>
  <si>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</si>
  <si>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</si>
  <si>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</si>
  <si>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</si>
  <si>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</si>
  <si>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</si>
  <si>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</si>
  <si>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</si>
  <si>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</si>
  <si>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</si>
  <si>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</si>
  <si>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</si>
  <si>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</si>
  <si>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</si>
  <si>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</si>
  <si>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</si>
  <si>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</si>
  <si>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</si>
  <si>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</si>
  <si>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</si>
  <si>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</si>
  <si>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</si>
  <si>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</si>
  <si>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</si>
  <si>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</si>
  <si>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</si>
  <si>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</si>
  <si>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</si>
  <si>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</si>
  <si>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</si>
  <si>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</si>
  <si>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</si>
  <si>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</si>
  <si>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</si>
  <si>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</si>
  <si>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</si>
  <si>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</si>
  <si>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</si>
  <si>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</si>
  <si>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</si>
  <si>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</si>
  <si>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</si>
  <si>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</si>
  <si>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</si>
  <si>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</si>
  <si>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</si>
  <si>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</si>
  <si>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</si>
  <si>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</si>
  <si>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</si>
  <si>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</si>
  <si>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</si>
  <si>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</si>
  <si>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</si>
  <si>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</si>
  <si>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</si>
  <si>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</si>
  <si>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</si>
  <si>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</si>
  <si>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</si>
  <si>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</si>
  <si>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</si>
  <si>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</si>
  <si>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</si>
  <si>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</si>
  <si>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</si>
  <si>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</si>
  <si>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</si>
  <si>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</si>
  <si>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</si>
  <si>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</si>
  <si>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</si>
  <si>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</si>
  <si>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</si>
  <si>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</si>
  <si>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</si>
  <si>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</si>
  <si>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</si>
  <si>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</si>
  <si>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</si>
  <si>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</si>
  <si>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</si>
  <si>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</si>
  <si>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</si>
  <si>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</si>
  <si>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</si>
  <si>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</si>
  <si>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</si>
  <si>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</si>
  <si>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</si>
  <si>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</si>
  <si>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</si>
  <si>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</si>
  <si>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</si>
  <si>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</si>
  <si>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</si>
  <si>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</si>
  <si>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</si>
  <si>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</si>
  <si>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</si>
  <si>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</si>
  <si>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</si>
  <si>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</si>
  <si>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</si>
  <si>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</si>
  <si>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</si>
  <si>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</si>
  <si>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</si>
  <si>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</si>
  <si>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</si>
  <si>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</si>
  <si>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</si>
  <si>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</si>
  <si>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</si>
  <si>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</si>
  <si>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</si>
  <si>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</si>
  <si>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</si>
  <si>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</si>
  <si>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</si>
  <si>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</si>
  <si>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</si>
  <si>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</si>
  <si>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</si>
  <si>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</si>
  <si>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</si>
  <si>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</si>
  <si>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</si>
  <si>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</si>
  <si>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</si>
  <si>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</si>
  <si>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</si>
  <si>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</si>
  <si>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</si>
  <si>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</si>
  <si>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</si>
  <si>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</si>
  <si>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</si>
  <si>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</si>
  <si>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</si>
  <si>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</si>
  <si>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</si>
  <si>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</si>
  <si>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</si>
  <si>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</si>
  <si>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</si>
  <si>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</si>
  <si>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</si>
  <si>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</si>
  <si>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</si>
  <si>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</si>
  <si>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</si>
  <si>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</si>
  <si>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</si>
  <si>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</si>
  <si>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</si>
  <si>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</si>
  <si>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</si>
  <si>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</si>
  <si>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</si>
  <si>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</si>
  <si>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</si>
  <si>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</si>
  <si>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</si>
  <si>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</si>
  <si>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</si>
  <si>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</si>
  <si>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</si>
  <si>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</si>
  <si>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</si>
  <si>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</si>
  <si>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</si>
  <si>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</si>
  <si>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</si>
  <si>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</si>
  <si>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</si>
  <si>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</si>
  <si>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</si>
  <si>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</si>
  <si>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</si>
  <si>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</si>
  <si>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</si>
  <si>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</si>
  <si>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</si>
  <si>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</si>
  <si>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</si>
  <si>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</si>
  <si>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</si>
  <si>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</si>
  <si>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</si>
  <si>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</si>
  <si>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</si>
  <si>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</si>
  <si>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</si>
  <si>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</si>
  <si>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</si>
  <si>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</si>
  <si>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</si>
  <si>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</si>
  <si>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</si>
  <si>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</si>
  <si>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</si>
  <si>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</si>
  <si>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</si>
  <si>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</si>
  <si>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</si>
  <si>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</si>
  <si>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</si>
  <si>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</si>
  <si>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</si>
  <si>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</si>
  <si>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</si>
  <si>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</si>
  <si>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</si>
  <si>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</si>
  <si>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</si>
  <si>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</si>
  <si>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</si>
  <si>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</si>
  <si>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</si>
  <si>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</si>
  <si>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</si>
  <si>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</si>
  <si>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</si>
  <si>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</si>
  <si>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</si>
  <si>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</si>
  <si>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</si>
  <si>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</si>
  <si>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</si>
  <si>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</si>
  <si>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</si>
  <si>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</si>
  <si>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</si>
  <si>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</si>
  <si>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</si>
  <si>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</si>
  <si>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</si>
  <si>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</si>
  <si>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</si>
  <si>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</si>
  <si>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</si>
  <si>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</si>
  <si>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</si>
  <si>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</si>
  <si>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</si>
  <si>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</si>
  <si>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</si>
  <si>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</si>
  <si>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</si>
  <si>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</si>
  <si>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</si>
  <si>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</si>
  <si>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</si>
  <si>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</si>
  <si>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</si>
  <si>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</si>
  <si>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</si>
  <si>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</si>
  <si>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</si>
  <si>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</si>
  <si>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</si>
  <si>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</si>
  <si>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</si>
  <si>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</si>
  <si>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</si>
  <si>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</si>
  <si>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</si>
  <si>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</si>
  <si>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</si>
  <si>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</si>
  <si>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</si>
  <si>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</si>
  <si>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</si>
  <si>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</si>
  <si>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</si>
  <si>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</si>
  <si>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</si>
  <si>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</si>
  <si>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</si>
  <si>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</si>
  <si>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</si>
  <si>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</si>
  <si>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</si>
  <si>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</si>
  <si>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</si>
  <si>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</si>
  <si>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</si>
  <si>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</si>
  <si>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</si>
  <si>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</si>
  <si>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</si>
  <si>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</si>
  <si>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</si>
  <si>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</si>
  <si>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</si>
  <si>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</si>
  <si>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</si>
  <si>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</si>
  <si>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</si>
  <si>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</si>
  <si>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</si>
  <si>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</si>
  <si>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</si>
  <si>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</si>
  <si>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</si>
  <si>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</si>
  <si>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</si>
  <si>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</si>
  <si>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</si>
  <si>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</si>
  <si>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</si>
  <si>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</si>
  <si>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</si>
  <si>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</si>
  <si>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</si>
  <si>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</si>
  <si>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</si>
  <si>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</si>
  <si>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</si>
  <si>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</si>
  <si>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</si>
  <si>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</si>
  <si>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</si>
  <si>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</si>
  <si>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</si>
  <si>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</si>
  <si>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</si>
  <si>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</si>
  <si>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</si>
  <si>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</si>
  <si>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</si>
  <si>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</si>
  <si>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</si>
  <si>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</si>
  <si>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</si>
  <si>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</si>
  <si>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</si>
  <si>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</si>
  <si>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</si>
  <si>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</si>
  <si>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</si>
  <si>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</si>
  <si>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</si>
  <si>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</si>
  <si>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</si>
  <si>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</si>
  <si>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</si>
  <si>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</si>
  <si>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</si>
  <si>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</si>
  <si>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</si>
  <si>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</si>
  <si>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</si>
  <si>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</si>
  <si>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</si>
  <si>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</si>
  <si>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</si>
  <si>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</si>
  <si>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</si>
  <si>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</si>
  <si>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</si>
  <si>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</si>
  <si>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</si>
  <si>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</si>
  <si>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</si>
  <si>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</si>
  <si>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</si>
  <si>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</si>
  <si>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</si>
  <si>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</si>
  <si>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</si>
  <si>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</si>
  <si>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</si>
  <si>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</si>
  <si>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</si>
  <si>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</si>
  <si>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</si>
  <si>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</si>
  <si>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</si>
  <si>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</si>
  <si>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</si>
  <si>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</si>
  <si>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</si>
  <si>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</si>
  <si>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</si>
  <si>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</si>
  <si>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</si>
  <si>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</si>
  <si>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</si>
  <si>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</si>
  <si>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</si>
  <si>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</si>
  <si>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</si>
  <si>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</si>
  <si>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</si>
  <si>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</si>
  <si>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</si>
  <si>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</si>
  <si>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</si>
  <si>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</si>
  <si>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</si>
  <si>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</si>
  <si>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</si>
  <si>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</si>
  <si>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</si>
  <si>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</si>
  <si>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</si>
  <si>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</si>
  <si>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</si>
  <si>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</si>
  <si>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</si>
  <si>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</si>
  <si>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</si>
  <si>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</si>
  <si>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</si>
  <si>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</si>
  <si>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</si>
  <si>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</si>
  <si>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</si>
  <si>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</si>
  <si>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</si>
  <si>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</si>
  <si>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</si>
  <si>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</si>
  <si>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</si>
  <si>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</si>
  <si>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</si>
  <si>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</si>
  <si>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</si>
  <si>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</si>
  <si>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</si>
  <si>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</si>
  <si>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</si>
  <si>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</si>
  <si>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</si>
  <si>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</si>
  <si>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</si>
  <si>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</si>
  <si>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</si>
  <si>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</si>
  <si>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</si>
  <si>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</si>
  <si>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</si>
  <si>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</si>
  <si>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</si>
  <si>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</si>
  <si>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</si>
  <si>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</si>
  <si>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</si>
  <si>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</si>
  <si>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</si>
  <si>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</si>
  <si>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</si>
  <si>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</si>
  <si>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</si>
  <si>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</si>
  <si>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</si>
  <si>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</si>
  <si>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</si>
  <si>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</si>
  <si>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</si>
  <si>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</si>
  <si>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</si>
  <si>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</si>
  <si>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</si>
  <si>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</si>
  <si>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</si>
  <si>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</si>
  <si>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</si>
  <si>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</si>
  <si>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</si>
  <si>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</si>
  <si>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</si>
  <si>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</si>
  <si>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</si>
  <si>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</si>
  <si>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</si>
  <si>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</si>
  <si>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</si>
  <si>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</si>
  <si>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</si>
  <si>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</si>
  <si>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</si>
  <si>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</si>
  <si>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</si>
  <si>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</si>
  <si>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</si>
  <si>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</si>
  <si>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</si>
  <si>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</si>
  <si>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</si>
  <si>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</si>
  <si>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</si>
  <si>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</si>
  <si>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</si>
  <si>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</si>
  <si>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</si>
  <si>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</si>
  <si>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</si>
  <si>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</si>
  <si>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</si>
  <si>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</si>
  <si>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</si>
  <si>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</si>
  <si>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</si>
  <si>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</si>
  <si>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</si>
  <si>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</si>
  <si>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</si>
  <si>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</si>
  <si>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</si>
  <si>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</si>
  <si>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</si>
  <si>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</si>
  <si>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</si>
  <si>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</si>
  <si>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</si>
  <si>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</si>
  <si>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</si>
  <si>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</si>
  <si>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</si>
  <si>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</si>
  <si>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</si>
  <si>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</si>
  <si>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</si>
  <si>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</si>
  <si>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</si>
  <si>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</si>
  <si>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</si>
  <si>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</si>
  <si>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</si>
  <si>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</si>
  <si>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</si>
  <si>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</si>
  <si>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</si>
  <si>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</si>
  <si>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</si>
  <si>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</si>
  <si>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</si>
  <si>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</si>
  <si>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</si>
  <si>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</si>
  <si>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</si>
  <si>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</si>
  <si>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</si>
  <si>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</si>
  <si>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</si>
  <si>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</si>
  <si>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</si>
  <si>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</si>
  <si>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</si>
  <si>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</si>
  <si>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</si>
  <si>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</si>
  <si>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</si>
  <si>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</si>
  <si>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</si>
  <si>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</si>
  <si>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</si>
  <si>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</si>
  <si>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</si>
  <si>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</si>
  <si>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</si>
  <si>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</si>
  <si>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</si>
  <si>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</si>
  <si>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</si>
  <si>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</si>
  <si>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</si>
  <si>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</si>
  <si>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</si>
  <si>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</si>
  <si>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</si>
  <si>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</si>
  <si>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</si>
  <si>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</si>
  <si>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</si>
  <si>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</si>
  <si>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</si>
  <si>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</si>
  <si>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</si>
  <si>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</si>
  <si>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</si>
  <si>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</si>
  <si>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</si>
  <si>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</si>
  <si>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</si>
  <si>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</si>
  <si>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</si>
  <si>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</si>
  <si>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</si>
  <si>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</si>
  <si>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</si>
  <si>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</si>
  <si>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</si>
  <si>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</si>
  <si>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</si>
  <si>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</si>
  <si>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</si>
  <si>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</si>
  <si>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</si>
  <si>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</si>
  <si>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</si>
  <si>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</si>
  <si>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</si>
  <si>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</si>
  <si>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</si>
  <si>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</si>
  <si>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</si>
  <si>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</si>
  <si>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</si>
  <si>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</si>
  <si>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</si>
  <si>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</si>
  <si>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</si>
  <si>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</si>
  <si>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</si>
  <si>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</si>
  <si>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</si>
  <si>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</si>
  <si>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</si>
  <si>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</si>
  <si>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</si>
  <si>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</si>
  <si>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</si>
  <si>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</si>
  <si>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</si>
  <si>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</si>
  <si>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</si>
  <si>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</si>
  <si>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</si>
  <si>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</si>
  <si>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</si>
  <si>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</si>
  <si>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</si>
  <si>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</si>
  <si>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</si>
  <si>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</si>
  <si>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</si>
  <si>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</si>
  <si>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</si>
  <si>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</si>
  <si>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</si>
  <si>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</si>
  <si>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</si>
  <si>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</si>
  <si>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</si>
  <si>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</si>
  <si>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</si>
  <si>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</si>
  <si>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</si>
  <si>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</si>
  <si>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</si>
  <si>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</si>
  <si>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</si>
  <si>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</si>
  <si>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</si>
  <si>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</si>
  <si>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</si>
  <si>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</si>
  <si>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</si>
  <si>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</si>
  <si>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</si>
  <si>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</si>
  <si>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</si>
  <si>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</si>
  <si>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</si>
  <si>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</si>
  <si>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</si>
  <si>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</si>
  <si>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</si>
  <si>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</si>
  <si>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</si>
  <si>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</si>
  <si>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</si>
  <si>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</si>
  <si>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</si>
  <si>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</si>
  <si>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</si>
  <si>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</si>
  <si>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</si>
  <si>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</si>
  <si>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</si>
  <si>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</si>
  <si>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</si>
  <si>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</si>
  <si>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</si>
  <si>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</si>
  <si>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</si>
  <si>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</si>
  <si>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</si>
  <si>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</si>
  <si>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</si>
  <si>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</si>
  <si>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</si>
  <si>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</si>
  <si>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</si>
  <si>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</si>
  <si>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</si>
  <si>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</si>
  <si>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</si>
  <si>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</si>
  <si>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</si>
  <si>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</si>
  <si>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</si>
  <si>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</si>
  <si>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</si>
  <si>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</si>
  <si>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</si>
  <si>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</si>
  <si>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</si>
  <si>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</si>
  <si>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</si>
  <si>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</si>
  <si>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</si>
  <si>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</si>
  <si>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</si>
  <si>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</si>
  <si>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</si>
  <si>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</si>
  <si>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</si>
  <si>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</si>
  <si>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</si>
  <si>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</si>
  <si>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</si>
  <si>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</si>
  <si>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</si>
  <si>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</si>
  <si>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</si>
  <si>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</si>
  <si>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</si>
  <si>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</si>
  <si>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</si>
  <si>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</si>
  <si>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</si>
  <si>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</si>
  <si>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</si>
  <si>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</si>
  <si>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</si>
  <si>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</si>
  <si>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</si>
  <si>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</si>
  <si>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</si>
  <si>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</si>
  <si>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</si>
  <si>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</si>
  <si>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</si>
  <si>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</si>
  <si>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</si>
  <si>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</si>
  <si>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</si>
  <si>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</si>
  <si>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</si>
  <si>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</si>
  <si>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</si>
  <si>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</si>
  <si>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</si>
  <si>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</si>
  <si>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</si>
  <si>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</si>
  <si>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</si>
  <si>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</si>
  <si>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</si>
  <si>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</si>
  <si>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</si>
  <si>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</si>
  <si>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</si>
  <si>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</si>
  <si>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</si>
  <si>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</si>
  <si>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</si>
  <si>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</si>
  <si>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</si>
  <si>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</si>
  <si>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</si>
  <si>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</si>
  <si>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</si>
  <si>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</si>
  <si>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</si>
  <si>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</si>
  <si>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</si>
  <si>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</si>
  <si>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</si>
  <si>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</si>
  <si>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</si>
  <si>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</si>
  <si>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</si>
  <si>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</si>
  <si>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</si>
  <si>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</si>
  <si>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</si>
  <si>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</si>
  <si>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</si>
  <si>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</si>
  <si>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</si>
  <si>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</si>
  <si>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</si>
  <si>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</si>
  <si>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</si>
  <si>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</si>
  <si>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</si>
  <si>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</si>
  <si>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</si>
  <si>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</si>
  <si>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</si>
  <si>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</si>
  <si>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</si>
  <si>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</si>
  <si>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</si>
  <si>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</si>
  <si>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</si>
  <si>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</si>
  <si>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</si>
  <si>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</si>
  <si>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</si>
  <si>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</si>
  <si>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</si>
  <si>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</si>
  <si>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</si>
  <si>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</si>
  <si>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</si>
  <si>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</si>
  <si>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</si>
  <si>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</si>
  <si>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</si>
  <si>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</si>
  <si>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</si>
  <si>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</si>
  <si>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</si>
  <si>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</si>
  <si>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</si>
  <si>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</si>
  <si>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</si>
  <si>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</si>
  <si>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</si>
  <si>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</si>
  <si>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</si>
  <si>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</si>
  <si>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</si>
  <si>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</si>
  <si>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</si>
  <si>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</si>
  <si>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</si>
  <si>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</si>
  <si>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</si>
  <si>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</si>
  <si>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</si>
  <si>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</si>
  <si>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</si>
  <si>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</si>
  <si>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</si>
  <si>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</si>
  <si>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</si>
  <si>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</si>
  <si>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</si>
  <si>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</si>
  <si>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</si>
  <si>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</si>
  <si>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</si>
  <si>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</si>
  <si>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</si>
  <si>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</si>
  <si>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</si>
  <si>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</si>
  <si>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</si>
  <si>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</si>
  <si>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</si>
  <si>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</si>
  <si>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</si>
  <si>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</si>
  <si>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</si>
  <si>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</si>
  <si>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</si>
  <si>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</si>
  <si>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</si>
  <si>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</si>
  <si>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</si>
  <si>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</si>
  <si>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</si>
  <si>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</si>
  <si>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</si>
  <si>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</si>
  <si>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</si>
  <si>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</si>
  <si>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</si>
  <si>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</si>
  <si>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</si>
  <si>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</si>
  <si>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</si>
  <si>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</si>
  <si>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</si>
  <si>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</si>
  <si>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</si>
  <si>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</si>
  <si>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</si>
  <si>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</si>
  <si>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</si>
  <si>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</si>
  <si>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</si>
  <si>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</si>
  <si>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</si>
  <si>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</si>
  <si>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</si>
  <si>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</si>
  <si>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</si>
  <si>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</si>
  <si>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</si>
  <si>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</si>
  <si>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</si>
  <si>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</si>
  <si>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</si>
  <si>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</si>
  <si>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</si>
  <si>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</si>
  <si>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</si>
  <si>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</si>
  <si>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</si>
  <si>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</si>
  <si>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</si>
  <si>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</si>
  <si>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</si>
  <si>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</si>
  <si>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</si>
  <si>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</si>
  <si>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</si>
  <si>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</si>
  <si>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</si>
  <si>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</si>
  <si>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</si>
  <si>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</si>
  <si>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</si>
  <si>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</si>
  <si>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</si>
  <si>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</si>
  <si>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</si>
  <si>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</si>
  <si>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</si>
  <si>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</si>
  <si>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</si>
  <si>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</si>
  <si>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</si>
  <si>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</si>
  <si>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</si>
  <si>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</si>
  <si>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</si>
  <si>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</si>
  <si>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</si>
  <si>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</si>
  <si>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</si>
  <si>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</si>
  <si>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</si>
  <si>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</si>
  <si>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</si>
  <si>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</si>
  <si>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</si>
  <si>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</si>
  <si>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</si>
  <si>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</si>
  <si>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</si>
  <si>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</si>
  <si>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</si>
  <si>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</si>
  <si>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</si>
  <si>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</si>
  <si>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</si>
  <si>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</si>
  <si>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</si>
  <si>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</si>
  <si>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</si>
  <si>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</si>
  <si>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</si>
  <si>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</si>
  <si>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</si>
  <si>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</si>
  <si>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</si>
  <si>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</si>
  <si>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</si>
  <si>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</si>
  <si>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</si>
  <si>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</si>
  <si>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</si>
  <si>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</si>
  <si>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</si>
  <si>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</si>
  <si>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</si>
  <si>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</si>
  <si>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</si>
  <si>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</si>
  <si>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</si>
  <si>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</si>
  <si>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</si>
  <si>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</si>
  <si>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</si>
  <si>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</si>
  <si>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</si>
  <si>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</si>
  <si>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</si>
  <si>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</si>
  <si>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</si>
  <si>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</si>
  <si>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</si>
  <si>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</si>
  <si>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</si>
  <si>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</si>
  <si>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</si>
  <si>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</si>
  <si>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</si>
  <si>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</si>
  <si>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</si>
  <si>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</si>
  <si>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</si>
  <si>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</si>
  <si>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</si>
  <si>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</si>
  <si>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</si>
  <si>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</si>
  <si>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</si>
  <si>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</si>
  <si>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</si>
  <si>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</si>
  <si>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</si>
  <si>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</si>
  <si>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</si>
  <si>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</si>
  <si>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</si>
  <si>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</si>
  <si>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</si>
  <si>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</si>
  <si>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</si>
  <si>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</si>
  <si>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</si>
  <si>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</si>
  <si>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</si>
  <si>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</si>
  <si>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</si>
  <si>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</si>
  <si>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</si>
  <si>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</si>
  <si>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</si>
  <si>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</si>
  <si>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</si>
  <si>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</si>
  <si>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</si>
  <si>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</si>
  <si>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</si>
  <si>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</si>
  <si>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</si>
  <si>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</si>
  <si>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</si>
  <si>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</si>
  <si>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</si>
  <si>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</si>
  <si>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</si>
  <si>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</si>
  <si>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</si>
  <si>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</si>
  <si>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</si>
  <si>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</si>
  <si>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</si>
  <si>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</si>
  <si>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</si>
  <si>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</si>
  <si>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</si>
  <si>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</si>
  <si>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</si>
  <si>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</si>
  <si>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</si>
  <si>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</si>
  <si>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</si>
  <si>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</si>
  <si>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</si>
  <si>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</si>
  <si>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</si>
  <si>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</si>
  <si>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</si>
  <si>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</si>
  <si>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</si>
  <si>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</si>
  <si>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</si>
  <si>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</si>
  <si>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</si>
  <si>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</si>
  <si>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</si>
  <si>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</si>
  <si>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</si>
  <si>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</si>
  <si>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</si>
  <si>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</si>
  <si>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</si>
  <si>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</si>
  <si>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</si>
  <si>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</si>
  <si>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</si>
  <si>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</si>
  <si>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</si>
  <si>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</si>
  <si>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</si>
  <si>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</si>
  <si>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</si>
  <si>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</si>
  <si>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</si>
  <si>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</si>
  <si>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</si>
  <si>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</si>
  <si>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</si>
  <si>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</si>
  <si>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</si>
  <si>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</si>
  <si>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</si>
  <si>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</si>
  <si>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</si>
  <si>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</si>
  <si>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</si>
  <si>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</si>
  <si>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</si>
  <si>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</si>
  <si>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</si>
  <si>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</si>
  <si>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</si>
  <si>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</si>
  <si>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</si>
  <si>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</si>
  <si>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</si>
  <si>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</si>
  <si>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</si>
  <si>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</si>
  <si>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</si>
  <si>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</si>
  <si>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</si>
  <si>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</si>
  <si>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</si>
  <si>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</si>
  <si>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</si>
  <si>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</si>
  <si>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</si>
  <si>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</si>
  <si>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</si>
  <si>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</si>
  <si>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</si>
  <si>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</si>
  <si>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</si>
  <si>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</si>
  <si>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</si>
  <si>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</si>
  <si>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</si>
  <si>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</si>
  <si>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</si>
  <si>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</si>
  <si>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</si>
  <si>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</si>
  <si>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</si>
  <si>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</si>
  <si>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</si>
  <si>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</si>
  <si>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</si>
  <si>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</si>
  <si>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</si>
  <si>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</si>
  <si>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</si>
  <si>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</si>
  <si>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</si>
  <si>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</si>
  <si>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</si>
  <si>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</si>
  <si>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</si>
  <si>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</si>
  <si>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</si>
  <si>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</si>
  <si>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</si>
  <si>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</si>
  <si>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</si>
  <si>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</si>
  <si>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</si>
  <si>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</si>
  <si>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</si>
  <si>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</si>
  <si>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</si>
  <si>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</si>
  <si>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</si>
  <si>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</si>
  <si>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</si>
  <si>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</si>
  <si>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</si>
  <si>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</si>
  <si>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</si>
  <si>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</si>
  <si>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</si>
  <si>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</si>
  <si>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</si>
  <si>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</si>
  <si>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</si>
  <si>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</si>
  <si>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</si>
  <si>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</si>
  <si>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</si>
  <si>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</si>
  <si>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</si>
  <si>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</si>
  <si>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</si>
  <si>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</si>
  <si>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</si>
  <si>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</si>
  <si>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</si>
  <si>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</si>
  <si>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</si>
  <si>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</si>
  <si>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</si>
  <si>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</si>
  <si>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</si>
  <si>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</si>
  <si>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</si>
  <si>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</si>
  <si>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</si>
  <si>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</si>
  <si>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</si>
  <si>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</si>
  <si>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</si>
  <si>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</si>
  <si>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</si>
  <si>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</si>
  <si>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</si>
  <si>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</si>
  <si>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</si>
  <si>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</si>
  <si>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</si>
  <si>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</si>
  <si>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</si>
  <si>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</si>
  <si>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</si>
  <si>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</si>
  <si>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</si>
  <si>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</si>
  <si>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</si>
  <si>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</si>
  <si>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</si>
  <si>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</si>
  <si>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</si>
  <si>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</si>
  <si>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</si>
  <si>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</si>
  <si>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</si>
  <si>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</si>
  <si>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</si>
  <si>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</si>
  <si>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</si>
  <si>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</si>
  <si>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</si>
  <si>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</si>
  <si>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</si>
  <si>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</si>
  <si>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</si>
  <si>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</si>
  <si>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</si>
  <si>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</si>
  <si>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</si>
  <si>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</si>
  <si>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</si>
  <si>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</si>
  <si>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</si>
  <si>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</si>
  <si>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</si>
  <si>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</si>
  <si>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</si>
  <si>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</si>
  <si>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</si>
  <si>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</si>
  <si>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</si>
  <si>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</si>
  <si>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</si>
  <si>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</si>
  <si>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</si>
  <si>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</si>
  <si>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</si>
  <si>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</si>
  <si>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</si>
  <si>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</si>
  <si>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</si>
  <si>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</si>
  <si>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</si>
  <si>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</si>
  <si>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</si>
  <si>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</si>
  <si>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</si>
  <si>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</si>
  <si>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</si>
  <si>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</si>
  <si>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</si>
  <si>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</si>
  <si>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</si>
  <si>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</si>
  <si>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</si>
  <si>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</si>
  <si>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</si>
  <si>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</si>
  <si>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</si>
  <si>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</si>
  <si>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</si>
  <si>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</si>
  <si>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</si>
  <si>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</si>
  <si>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</si>
  <si>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</si>
  <si>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</si>
  <si>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</si>
  <si>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</si>
  <si>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</si>
  <si>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</si>
  <si>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</si>
  <si>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</si>
  <si>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</si>
  <si>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</si>
  <si>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</si>
  <si>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</si>
  <si>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</si>
  <si>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</si>
  <si>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</si>
  <si>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</si>
  <si>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</si>
  <si>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</si>
  <si>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</si>
  <si>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</si>
  <si>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</si>
  <si>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</si>
  <si>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</si>
  <si>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</si>
  <si>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</si>
  <si>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</si>
  <si>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</si>
  <si>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</si>
  <si>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</si>
  <si>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</si>
  <si>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</si>
  <si>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</si>
  <si>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</si>
  <si>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</si>
  <si>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</si>
  <si>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</si>
  <si>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</si>
  <si>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</si>
  <si>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</si>
  <si>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</si>
  <si>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</si>
  <si>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</si>
  <si>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</si>
  <si>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</si>
  <si>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</si>
  <si>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</si>
  <si>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</si>
  <si>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</si>
  <si>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</si>
  <si>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</si>
  <si>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</si>
  <si>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</si>
  <si>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</si>
  <si>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</si>
  <si>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</si>
  <si>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</si>
  <si>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</si>
  <si>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</si>
  <si>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</si>
  <si>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</si>
  <si>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</si>
  <si>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</si>
  <si>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</si>
  <si>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</si>
  <si>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</si>
  <si>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</si>
  <si>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</si>
  <si>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</si>
  <si>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</si>
  <si>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</si>
  <si>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</si>
  <si>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</si>
  <si>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</si>
  <si>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</si>
  <si>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</si>
  <si>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</si>
  <si>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</si>
  <si>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</si>
  <si>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</si>
  <si>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</si>
  <si>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</si>
  <si>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</si>
  <si>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</si>
  <si>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</si>
  <si>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</si>
  <si>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</si>
  <si>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</si>
  <si>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</si>
  <si>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</si>
  <si>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</si>
  <si>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</si>
  <si>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</si>
  <si>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</si>
  <si>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</si>
  <si>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</si>
  <si>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</si>
  <si>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</si>
  <si>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</si>
  <si>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</si>
  <si>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</si>
  <si>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</si>
  <si>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</si>
  <si>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</si>
  <si>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</si>
  <si>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</si>
  <si>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</si>
  <si>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</si>
  <si>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</si>
  <si>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</si>
  <si>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</si>
  <si>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</si>
  <si>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</si>
  <si>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</si>
  <si>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</si>
  <si>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</si>
  <si>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</si>
  <si>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</si>
  <si>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</si>
  <si>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</si>
  <si>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</si>
  <si>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</si>
  <si>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</si>
  <si>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</si>
  <si>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</si>
  <si>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</si>
  <si>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</si>
  <si>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</si>
  <si>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</si>
  <si>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</si>
  <si>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</si>
  <si>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</si>
  <si>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</si>
  <si>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</si>
  <si>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</si>
  <si>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</si>
  <si>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</si>
  <si>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</si>
  <si>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</si>
  <si>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</si>
  <si>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</si>
  <si>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</si>
  <si>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</si>
  <si>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</si>
  <si>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</si>
  <si>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</si>
  <si>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</si>
  <si>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</si>
  <si>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</si>
  <si>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</si>
  <si>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</si>
  <si>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</si>
  <si>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</si>
  <si>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</si>
  <si>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</si>
  <si>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</si>
  <si>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</si>
  <si>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</si>
  <si>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</si>
  <si>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</si>
  <si>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</si>
  <si>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</si>
  <si>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</si>
  <si>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</si>
  <si>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</si>
  <si>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</si>
  <si>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</si>
  <si>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</si>
  <si>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</si>
  <si>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</si>
  <si>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</si>
  <si>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</si>
  <si>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</si>
  <si>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</si>
  <si>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</si>
  <si>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</si>
  <si>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</si>
  <si>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</si>
  <si>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</si>
  <si>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</si>
  <si>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</si>
  <si>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</si>
  <si>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</si>
  <si>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</si>
  <si>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</si>
  <si>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</si>
  <si>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</si>
  <si>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</si>
  <si>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</si>
  <si>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</si>
  <si>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</si>
  <si>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</si>
  <si>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</si>
  <si>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</si>
  <si>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</si>
  <si>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</si>
  <si>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</si>
  <si>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</si>
  <si>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</si>
  <si>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</si>
  <si>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</si>
  <si>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</si>
  <si>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</si>
  <si>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</si>
  <si>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</si>
  <si>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</si>
  <si>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</si>
  <si>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</si>
  <si>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</si>
  <si>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</si>
  <si>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</si>
  <si>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</si>
  <si>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</si>
  <si>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</si>
  <si>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</si>
  <si>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</si>
  <si>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</si>
  <si>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</si>
  <si>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</si>
  <si>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</si>
  <si>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</si>
  <si>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</si>
  <si>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</si>
  <si>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</si>
  <si>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</si>
  <si>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</si>
  <si>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</si>
  <si>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</si>
  <si>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</si>
  <si>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</si>
  <si>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</si>
  <si>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</si>
  <si>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</si>
  <si>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</si>
  <si>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</si>
  <si>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</si>
  <si>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</si>
  <si>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</si>
  <si>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</si>
  <si>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</si>
  <si>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</si>
  <si>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</si>
  <si>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</si>
  <si>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</si>
  <si>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</si>
  <si>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</si>
  <si>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</si>
  <si>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</si>
  <si>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</si>
  <si>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</si>
  <si>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</si>
  <si>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</si>
  <si>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</si>
  <si>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</si>
  <si>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</si>
  <si>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</si>
  <si>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</si>
  <si>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</si>
  <si>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</si>
  <si>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</si>
  <si>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</si>
  <si>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</si>
  <si>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</si>
  <si>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</si>
  <si>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</si>
  <si>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</si>
  <si>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</si>
  <si>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</si>
  <si>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</si>
  <si>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</si>
  <si>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</si>
  <si>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</si>
  <si>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</si>
  <si>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</si>
  <si>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</si>
  <si>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</si>
  <si>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</si>
  <si>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</si>
  <si>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</si>
  <si>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</si>
  <si>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</si>
  <si>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</si>
  <si>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</si>
  <si>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</si>
  <si>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</si>
  <si>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</si>
  <si>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</si>
  <si>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</si>
  <si>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</si>
  <si>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</si>
  <si>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</si>
  <si>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</si>
  <si>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</si>
  <si>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</si>
  <si>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</si>
  <si>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</si>
  <si>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</si>
  <si>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</si>
  <si>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</si>
  <si>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</si>
  <si>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</si>
  <si>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</si>
  <si>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</si>
  <si>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</si>
  <si>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</si>
  <si>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</si>
  <si>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</si>
  <si>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</si>
  <si>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</si>
  <si>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</si>
  <si>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</si>
  <si>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</si>
  <si>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</si>
  <si>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</si>
  <si>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</si>
  <si>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</si>
  <si>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</si>
  <si>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</si>
  <si>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</si>
  <si>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</si>
  <si>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</si>
  <si>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</si>
  <si>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</si>
  <si>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</si>
  <si>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</si>
  <si>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</si>
  <si>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</si>
  <si>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</si>
  <si>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</si>
  <si>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</si>
  <si>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</si>
  <si>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</si>
  <si>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</si>
  <si>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</si>
  <si>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</si>
  <si>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</si>
  <si>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</si>
  <si>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</si>
  <si>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</si>
  <si>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</si>
  <si>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</si>
  <si>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</si>
  <si>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</si>
  <si>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</si>
  <si>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</si>
  <si>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</si>
  <si>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</si>
  <si>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</si>
  <si>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</si>
  <si>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</si>
  <si>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</si>
  <si>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</si>
  <si>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</si>
  <si>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</si>
  <si>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</si>
  <si>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</si>
  <si>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</si>
  <si>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</si>
  <si>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</si>
  <si>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</si>
  <si>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</si>
  <si>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</si>
  <si>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</si>
  <si>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</si>
  <si>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</si>
  <si>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</si>
  <si>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</si>
  <si>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</si>
  <si>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</si>
  <si>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</si>
  <si>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</si>
  <si>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</si>
  <si>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</si>
  <si>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</si>
  <si>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</si>
  <si>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</si>
  <si>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</si>
  <si>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</si>
  <si>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</si>
  <si>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</si>
  <si>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</si>
  <si>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</si>
  <si>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</si>
  <si>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</si>
  <si>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</si>
  <si>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</si>
  <si>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</si>
  <si>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</si>
  <si>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</si>
  <si>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</si>
  <si>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</si>
  <si>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</si>
  <si>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</si>
  <si>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</si>
  <si>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</si>
  <si>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</si>
  <si>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</si>
  <si>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</si>
  <si>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</si>
  <si>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</si>
  <si>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</si>
  <si>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</si>
  <si>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</si>
  <si>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</si>
  <si>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</si>
  <si>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</si>
  <si>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</si>
  <si>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</si>
  <si>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</si>
  <si>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</si>
  <si>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</si>
  <si>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</si>
  <si>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</si>
  <si>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</si>
  <si>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</si>
  <si>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</si>
  <si>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</si>
  <si>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</si>
  <si>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</si>
  <si>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</si>
  <si>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</si>
  <si>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</si>
  <si>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</si>
  <si>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</si>
  <si>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</si>
  <si>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</si>
  <si>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</si>
  <si>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</si>
  <si>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</si>
  <si>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</si>
  <si>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</si>
  <si>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</si>
  <si>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</si>
  <si>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</si>
  <si>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</si>
  <si>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</si>
  <si>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</si>
  <si>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</si>
  <si>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</si>
  <si>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</si>
  <si>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</si>
  <si>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</si>
  <si>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</si>
  <si>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</si>
  <si>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</si>
  <si>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</si>
  <si>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</si>
  <si>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</si>
  <si>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</si>
  <si>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</si>
  <si>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</si>
  <si>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</si>
  <si>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</si>
  <si>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</si>
  <si>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</si>
  <si>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</si>
  <si>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</si>
  <si>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</si>
  <si>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</si>
  <si>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</si>
  <si>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</si>
  <si>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</si>
  <si>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</si>
  <si>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</si>
  <si>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</si>
  <si>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</si>
  <si>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</si>
  <si>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</si>
  <si>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</si>
  <si>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</si>
  <si>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</si>
  <si>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</si>
  <si>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</si>
  <si>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</si>
  <si>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</si>
  <si>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</si>
  <si>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</si>
  <si>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</si>
  <si>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</si>
  <si>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</si>
  <si>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</si>
  <si>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</si>
  <si>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</si>
  <si>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</si>
  <si>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</si>
  <si>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</si>
  <si>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</si>
  <si>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</si>
  <si>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</si>
  <si>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</si>
  <si>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</si>
  <si>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</si>
  <si>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</si>
  <si>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</si>
  <si>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</si>
  <si>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</si>
  <si>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</si>
  <si>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</si>
  <si>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</si>
  <si>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</si>
  <si>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</si>
  <si>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</si>
  <si>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</si>
  <si>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</si>
  <si>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</si>
  <si>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</si>
  <si>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</si>
  <si>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</si>
  <si>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</si>
  <si>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</si>
  <si>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</si>
  <si>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</si>
  <si>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</si>
  <si>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</si>
  <si>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</si>
  <si>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</si>
  <si>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</si>
  <si>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</si>
  <si>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</si>
  <si>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</si>
  <si>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</si>
  <si>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</si>
  <si>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</si>
  <si>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</si>
  <si>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</si>
  <si>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</si>
  <si>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</si>
  <si>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</si>
  <si>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</si>
  <si>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</si>
  <si>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</si>
  <si>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</si>
  <si>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</si>
  <si>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</si>
  <si>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</si>
  <si>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</si>
  <si>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</si>
  <si>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</si>
  <si>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</si>
  <si>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</si>
  <si>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</si>
  <si>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</si>
  <si>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</si>
  <si>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</si>
  <si>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</si>
  <si>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</si>
  <si>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</si>
  <si>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</si>
  <si>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</si>
  <si>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</si>
  <si>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</si>
  <si>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</si>
  <si>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</si>
  <si>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</si>
  <si>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</si>
  <si>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</si>
  <si>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</si>
  <si>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</si>
  <si>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</si>
  <si>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</si>
  <si>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</si>
  <si>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</si>
  <si>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</si>
  <si>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</si>
  <si>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</si>
  <si>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</si>
  <si>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</si>
  <si>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</si>
  <si>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</si>
  <si>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</si>
  <si>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</si>
  <si>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</si>
  <si>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</si>
  <si>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</si>
  <si>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</si>
  <si>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</si>
  <si>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</si>
  <si>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</si>
  <si>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</si>
  <si>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</si>
  <si>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</si>
  <si>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</si>
  <si>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</si>
  <si>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</si>
  <si>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</si>
  <si>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</si>
  <si>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</si>
  <si>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</si>
  <si>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</si>
  <si>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</si>
  <si>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</si>
  <si>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</si>
  <si>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</si>
  <si>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</si>
  <si>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</si>
  <si>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</si>
  <si>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</si>
  <si>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</si>
  <si>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</si>
  <si>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</si>
  <si>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</si>
  <si>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</si>
  <si>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</si>
  <si>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</si>
  <si>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</si>
  <si>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</si>
  <si>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</si>
  <si>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</si>
  <si>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</si>
  <si>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</si>
  <si>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</si>
  <si>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</si>
  <si>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</si>
  <si>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</si>
  <si>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</si>
  <si>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</si>
  <si>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</si>
  <si>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</si>
  <si>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</si>
  <si>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</si>
  <si>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</si>
  <si>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</si>
  <si>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</si>
  <si>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</si>
  <si>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</si>
  <si>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</si>
  <si>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</si>
  <si>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</si>
  <si>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</si>
  <si>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</si>
  <si>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</si>
  <si>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</si>
  <si>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</si>
  <si>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</si>
  <si>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</si>
  <si>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</si>
  <si>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</si>
  <si>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</si>
  <si>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</si>
  <si>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</si>
  <si>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</si>
  <si>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</si>
  <si>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</si>
  <si>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</si>
  <si>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</si>
  <si>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</si>
  <si>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</si>
  <si>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</si>
  <si>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</si>
  <si>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</si>
  <si>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</si>
  <si>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</si>
  <si>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</si>
  <si>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</si>
  <si>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</si>
  <si>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</si>
  <si>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</si>
  <si>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</si>
  <si>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</si>
  <si>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</si>
  <si>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</si>
  <si>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</si>
  <si>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</si>
  <si>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</si>
  <si>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</si>
  <si>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</si>
  <si>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</si>
  <si>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</si>
  <si>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</si>
  <si>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</si>
  <si>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</si>
  <si>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</si>
  <si>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</si>
  <si>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</si>
  <si>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</si>
  <si>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</si>
  <si>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</si>
  <si>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</si>
  <si>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</si>
  <si>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</si>
  <si>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</si>
  <si>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</si>
  <si>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</si>
  <si>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</si>
  <si>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</si>
  <si>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</si>
  <si>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</si>
  <si>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</si>
  <si>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</si>
  <si>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</si>
  <si>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</si>
  <si>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</si>
  <si>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</si>
  <si>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</si>
  <si>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</si>
  <si>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</si>
  <si>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</si>
  <si>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</si>
  <si>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</si>
  <si>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</si>
  <si>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</si>
  <si>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</si>
  <si>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</si>
  <si>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</si>
  <si>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</si>
  <si>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</si>
  <si>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</si>
  <si>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</si>
  <si>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</si>
  <si>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</si>
  <si>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</si>
  <si>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</si>
  <si>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</si>
  <si>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</si>
  <si>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</si>
  <si>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</si>
  <si>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</si>
  <si>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</si>
  <si>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</si>
  <si>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</si>
  <si>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</si>
  <si>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</si>
  <si>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</si>
  <si>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</si>
  <si>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</si>
  <si>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</si>
  <si>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</si>
  <si>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</si>
  <si>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</si>
  <si>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</si>
  <si>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</si>
  <si>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</si>
  <si>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</si>
  <si>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</si>
  <si>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</si>
  <si>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</si>
  <si>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</si>
  <si>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</si>
  <si>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</si>
  <si>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</si>
  <si>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</si>
  <si>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</si>
  <si>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</si>
  <si>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</si>
  <si>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</si>
  <si>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</si>
  <si>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</si>
  <si>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</si>
  <si>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</si>
  <si>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</si>
  <si>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</si>
  <si>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</si>
  <si>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</si>
  <si>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</si>
  <si>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</si>
  <si>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</si>
  <si>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</si>
  <si>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</si>
  <si>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</si>
  <si>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</si>
  <si>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</si>
  <si>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</si>
  <si>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</si>
  <si>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</si>
  <si>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</si>
  <si>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</si>
  <si>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</si>
  <si>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</si>
  <si>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</si>
  <si>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</si>
  <si>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</si>
  <si>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</si>
  <si>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</si>
  <si>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</si>
  <si>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</si>
  <si>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</si>
  <si>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</si>
  <si>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</si>
  <si>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</si>
  <si>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</si>
  <si>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</si>
  <si>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</si>
  <si>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</si>
  <si>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</si>
  <si>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</si>
  <si>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</si>
  <si>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</si>
  <si>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</si>
  <si>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</si>
  <si>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</si>
  <si>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</si>
  <si>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</si>
  <si>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</si>
  <si>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</si>
  <si>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</si>
  <si>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</si>
  <si>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</si>
  <si>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</si>
  <si>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</si>
  <si>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</si>
  <si>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</si>
  <si>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</si>
  <si>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</si>
  <si>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</si>
  <si>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</si>
  <si>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</si>
  <si>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</si>
  <si>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</si>
  <si>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</si>
  <si>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</si>
  <si>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</si>
  <si>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</si>
  <si>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</si>
  <si>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</si>
  <si>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</si>
  <si>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</si>
  <si>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</si>
  <si>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</si>
  <si>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</si>
  <si>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</si>
  <si>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</si>
  <si>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</si>
  <si>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</si>
  <si>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</si>
  <si>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</si>
  <si>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</si>
  <si>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</si>
  <si>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</si>
  <si>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</si>
  <si>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</si>
  <si>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</si>
  <si>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</si>
  <si>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</si>
  <si>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</si>
  <si>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</si>
  <si>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</si>
  <si>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</si>
  <si>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</si>
  <si>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</si>
  <si>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</si>
  <si>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</si>
  <si>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</si>
  <si>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</si>
  <si>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</si>
  <si>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</si>
  <si>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</si>
  <si>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</si>
  <si>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</si>
  <si>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</si>
  <si>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</si>
  <si>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</si>
  <si>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</si>
  <si>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</si>
  <si>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</si>
  <si>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</si>
  <si>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</si>
  <si>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</si>
  <si>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</si>
  <si>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</si>
  <si>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</si>
  <si>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</si>
  <si>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</si>
  <si>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</si>
  <si>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</si>
  <si>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</si>
  <si>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</si>
  <si>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</si>
  <si>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</si>
  <si>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</si>
  <si>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</si>
  <si>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</si>
  <si>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</si>
  <si>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</si>
  <si>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</si>
  <si>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</si>
  <si>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</si>
  <si>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</si>
  <si>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</si>
  <si>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</si>
  <si>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</si>
  <si>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</si>
  <si>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</si>
  <si>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</si>
  <si>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</si>
  <si>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</si>
  <si>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</si>
  <si>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</si>
  <si>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</si>
  <si>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</si>
  <si>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</si>
  <si>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</si>
  <si>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</si>
  <si>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</si>
  <si>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</si>
  <si>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</si>
  <si>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</si>
  <si>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</si>
  <si>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</si>
  <si>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</si>
  <si>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</si>
  <si>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</si>
  <si>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</si>
  <si>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</si>
  <si>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</si>
  <si>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</si>
  <si>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</si>
  <si>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</si>
  <si>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</si>
  <si>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</si>
  <si>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</si>
  <si>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</si>
  <si>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</si>
  <si>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</si>
  <si>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</si>
  <si>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</si>
  <si>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</si>
  <si>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</si>
  <si>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</si>
  <si>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</si>
  <si>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</si>
  <si>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</si>
  <si>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</si>
  <si>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</si>
  <si>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</si>
  <si>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</si>
  <si>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</si>
  <si>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</si>
  <si>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</si>
  <si>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</si>
  <si>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</si>
  <si>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</si>
  <si>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</si>
  <si>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</si>
  <si>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</si>
  <si>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</si>
  <si>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</si>
  <si>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</si>
  <si>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</si>
  <si>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</si>
  <si>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</si>
  <si>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</si>
  <si>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</si>
  <si>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</si>
  <si>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</si>
  <si>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</si>
  <si>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</si>
  <si>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</si>
  <si>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</si>
  <si>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</si>
  <si>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</si>
  <si>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</si>
  <si>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</si>
  <si>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</si>
  <si>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</si>
  <si>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</si>
  <si>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</si>
  <si>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</si>
  <si>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</si>
  <si>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</si>
  <si>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</si>
  <si>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</si>
  <si>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</si>
  <si>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</si>
  <si>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</si>
  <si>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</si>
  <si>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</si>
  <si>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</si>
  <si>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</si>
  <si>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</si>
  <si>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</si>
  <si>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</si>
  <si>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</si>
  <si>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</si>
  <si>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</si>
  <si>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</si>
  <si>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</si>
  <si>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</si>
  <si>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</si>
  <si>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</si>
  <si>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</si>
  <si>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</si>
  <si>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</si>
  <si>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</si>
  <si>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</si>
  <si>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</si>
  <si>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</si>
  <si>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</si>
  <si>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</si>
  <si>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</si>
  <si>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</si>
  <si>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</si>
  <si>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</si>
  <si>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</si>
  <si>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</si>
  <si>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</si>
  <si>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</si>
  <si>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</si>
  <si>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</si>
  <si>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</si>
  <si>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</si>
  <si>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</si>
  <si>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</si>
  <si>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</si>
  <si>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</si>
  <si>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</si>
  <si>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</si>
  <si>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</si>
  <si>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</si>
  <si>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</si>
  <si>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</si>
  <si>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</si>
  <si>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</si>
  <si>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</si>
  <si>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</si>
  <si>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</si>
  <si>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</si>
  <si>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</si>
  <si>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</si>
  <si>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</si>
  <si>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</si>
  <si>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</si>
  <si>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</si>
  <si>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</si>
  <si>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</si>
  <si>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</si>
  <si>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</si>
  <si>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</si>
  <si>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</si>
  <si>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</si>
  <si>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</si>
  <si>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</si>
  <si>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</si>
  <si>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</si>
  <si>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</si>
  <si>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</si>
  <si>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</si>
  <si>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</si>
  <si>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</si>
  <si>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</si>
  <si>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</si>
  <si>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</si>
  <si>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</si>
  <si>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</si>
  <si>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</si>
  <si>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</si>
  <si>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</si>
  <si>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</si>
  <si>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</si>
  <si>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</si>
  <si>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</si>
  <si>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</si>
  <si>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</si>
  <si>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</si>
  <si>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</si>
  <si>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</si>
  <si>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</si>
  <si>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</si>
  <si>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</si>
  <si>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</si>
  <si>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</si>
  <si>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</si>
  <si>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</si>
  <si>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</si>
  <si>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</si>
  <si>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</si>
  <si>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</si>
  <si>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</si>
  <si>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</si>
  <si>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</si>
  <si>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</si>
  <si>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</si>
  <si>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</si>
  <si>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</si>
  <si>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</si>
  <si>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</si>
  <si>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</si>
  <si>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</si>
  <si>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</si>
  <si>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</si>
  <si>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</si>
  <si>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</si>
  <si>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</si>
  <si>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</si>
  <si>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</si>
  <si>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</si>
  <si>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</si>
  <si>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</si>
  <si>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</si>
  <si>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</si>
  <si>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</si>
  <si>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</si>
  <si>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</si>
  <si>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</si>
  <si>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</si>
  <si>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</si>
  <si>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</si>
  <si>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</si>
  <si>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</si>
  <si>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</si>
  <si>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</si>
  <si>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</si>
  <si>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</si>
  <si>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</si>
  <si>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</si>
  <si>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</si>
  <si>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</si>
  <si>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</si>
  <si>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</si>
  <si>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</si>
  <si>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</si>
  <si>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</si>
  <si>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</si>
  <si>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</si>
  <si>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</si>
  <si>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</si>
  <si>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</si>
  <si>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</si>
  <si>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</si>
  <si>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</si>
  <si>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</si>
  <si>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</si>
  <si>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</si>
  <si>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</si>
  <si>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</si>
  <si>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</si>
  <si>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</si>
  <si>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</si>
  <si>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</si>
  <si>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</si>
  <si>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</si>
  <si>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</si>
  <si>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</si>
  <si>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</si>
  <si>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</si>
  <si>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</si>
  <si>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</si>
  <si>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</si>
  <si>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</si>
  <si>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</si>
  <si>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</si>
  <si>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</si>
  <si>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</si>
  <si>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</si>
  <si>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</si>
  <si>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</si>
  <si>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</si>
  <si>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</si>
  <si>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</si>
  <si>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</si>
  <si>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</si>
  <si>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</si>
  <si>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</si>
  <si>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</si>
  <si>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</si>
  <si>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</si>
  <si>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</si>
  <si>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</si>
  <si>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</si>
  <si>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</si>
  <si>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</si>
  <si>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</si>
  <si>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</si>
  <si>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</si>
  <si>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</si>
  <si>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</si>
  <si>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</si>
  <si>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</si>
  <si>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</si>
  <si>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</si>
  <si>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</si>
  <si>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</si>
  <si>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</si>
  <si>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</si>
  <si>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</si>
  <si>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</si>
  <si>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</si>
  <si>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</si>
  <si>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</si>
  <si>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</si>
  <si>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</si>
  <si>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</si>
  <si>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</si>
  <si>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</si>
  <si>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</si>
  <si>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</si>
  <si>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</si>
  <si>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</si>
  <si>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</si>
  <si>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</si>
  <si>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</si>
  <si>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</si>
  <si>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</si>
  <si>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</si>
  <si>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</si>
  <si>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</si>
  <si>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</si>
  <si>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</si>
  <si>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</si>
  <si>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</si>
  <si>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</si>
  <si>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</si>
  <si>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</si>
  <si>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</si>
  <si>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</si>
  <si>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</si>
  <si>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</si>
  <si>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</si>
  <si>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</si>
  <si>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</si>
  <si>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</si>
  <si>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</si>
  <si>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</si>
  <si>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</si>
  <si>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</si>
  <si>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</si>
  <si>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</si>
  <si>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</si>
  <si>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</si>
  <si>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</si>
  <si>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</si>
  <si>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</si>
  <si>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</si>
  <si>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</si>
  <si>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</si>
  <si>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</si>
  <si>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</si>
  <si>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</si>
  <si>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</si>
  <si>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</si>
  <si>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</si>
  <si>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</si>
  <si>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</si>
  <si>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</si>
  <si>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</si>
  <si>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</si>
  <si>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</si>
  <si>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</si>
  <si>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</si>
  <si>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</si>
  <si>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</si>
  <si>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</si>
  <si>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</si>
  <si>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</si>
  <si>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</si>
  <si>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</si>
  <si>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</si>
  <si>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</si>
  <si>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</si>
  <si>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</si>
  <si>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</si>
  <si>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</si>
  <si>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</si>
  <si>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</si>
  <si>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</si>
  <si>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</si>
  <si>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</si>
  <si>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</si>
  <si>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</si>
  <si>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</si>
  <si>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</si>
  <si>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</si>
  <si>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</si>
  <si>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</si>
  <si>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</si>
  <si>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</si>
  <si>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</si>
  <si>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</si>
  <si>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</si>
  <si>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</si>
  <si>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</si>
  <si>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</si>
  <si>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</si>
  <si>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</si>
  <si>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</si>
  <si>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</si>
  <si>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</si>
  <si>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</si>
  <si>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</si>
  <si>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</si>
  <si>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</si>
  <si>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</si>
  <si>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</si>
  <si>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</si>
  <si>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</si>
  <si>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</si>
  <si>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</si>
  <si>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</si>
  <si>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</si>
  <si>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</si>
  <si>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</si>
  <si>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</si>
  <si>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</si>
  <si>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</si>
  <si>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</si>
  <si>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</si>
  <si>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</si>
  <si>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</si>
  <si>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</si>
  <si>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</si>
  <si>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</si>
  <si>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</si>
  <si>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</si>
  <si>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</si>
  <si>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</si>
  <si>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</si>
  <si>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</si>
  <si>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</si>
  <si>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</si>
  <si>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</si>
  <si>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</si>
  <si>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</si>
  <si>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</si>
  <si>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</si>
  <si>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</si>
  <si>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</si>
  <si>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</si>
  <si>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</si>
  <si>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</si>
  <si>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</si>
  <si>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</si>
  <si>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</si>
  <si>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</si>
  <si>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</si>
  <si>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</si>
  <si>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</si>
  <si>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</si>
  <si>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</si>
  <si>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</si>
  <si>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</si>
  <si>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</si>
  <si>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</si>
  <si>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</si>
  <si>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</si>
  <si>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</si>
  <si>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</si>
  <si>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</si>
  <si>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</si>
  <si>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</si>
  <si>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</si>
  <si>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</si>
  <si>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</si>
  <si>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</si>
  <si>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</si>
  <si>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</si>
  <si>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</si>
  <si>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</si>
  <si>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</si>
  <si>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</si>
  <si>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</si>
  <si>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</si>
  <si>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</si>
  <si>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</si>
  <si>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</si>
  <si>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</si>
  <si>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</si>
  <si>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</si>
  <si>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</si>
  <si>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</si>
  <si>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</si>
  <si>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</si>
  <si>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</si>
  <si>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</si>
  <si>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</si>
  <si>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</si>
  <si>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</si>
  <si>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</si>
  <si>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</si>
  <si>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</si>
  <si>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</si>
  <si>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</si>
  <si>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</si>
  <si>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</si>
  <si>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</si>
  <si>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</si>
  <si>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</si>
  <si>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</si>
  <si>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</si>
  <si>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</si>
  <si>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</si>
  <si>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</si>
  <si>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</si>
  <si>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</si>
  <si>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</si>
  <si>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</si>
  <si>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</si>
  <si>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</si>
  <si>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</si>
  <si>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</si>
  <si>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</si>
  <si>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</si>
  <si>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</si>
  <si>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</si>
  <si>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</si>
  <si>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</si>
  <si>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</si>
  <si>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</si>
  <si>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</si>
  <si>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</si>
  <si>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</si>
  <si>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</si>
  <si>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</si>
  <si>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</si>
  <si>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</si>
  <si>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</si>
  <si>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</si>
  <si>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</si>
  <si>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</si>
  <si>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</si>
  <si>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</si>
  <si>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</si>
  <si>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</si>
  <si>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</si>
  <si>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</si>
  <si>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</si>
  <si>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</si>
  <si>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</si>
  <si>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</si>
  <si>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</si>
  <si>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</si>
  <si>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</si>
  <si>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</si>
  <si>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</si>
  <si>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</si>
  <si>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</si>
  <si>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</si>
  <si>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</si>
  <si>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</si>
  <si>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</si>
  <si>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</si>
  <si>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</si>
  <si>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</si>
  <si>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</si>
  <si>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</si>
  <si>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</si>
  <si>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</si>
  <si>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</si>
  <si>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</si>
  <si>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</si>
  <si>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</si>
  <si>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</si>
  <si>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</si>
  <si>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</si>
  <si>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</si>
  <si>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</si>
  <si>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</si>
  <si>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</si>
  <si>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</si>
  <si>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</si>
  <si>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</si>
  <si>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</si>
  <si>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</si>
  <si>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</si>
  <si>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</si>
  <si>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</si>
  <si>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</si>
  <si>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</si>
  <si>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</si>
  <si>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</si>
  <si>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</si>
  <si>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</si>
  <si>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</si>
  <si>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</si>
  <si>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</si>
  <si>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</si>
  <si>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</si>
  <si>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</si>
  <si>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</si>
  <si>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</si>
  <si>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</si>
  <si>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</si>
  <si>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</si>
  <si>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</si>
  <si>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</si>
  <si>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</si>
  <si>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</si>
  <si>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</si>
  <si>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</si>
  <si>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</si>
  <si>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</si>
  <si>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</si>
  <si>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</si>
  <si>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</si>
  <si>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</si>
  <si>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</si>
  <si>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</si>
  <si>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</si>
  <si>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</si>
  <si>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</si>
  <si>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</si>
  <si>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</si>
  <si>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</si>
  <si>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</si>
  <si>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</si>
  <si>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</si>
  <si>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</si>
  <si>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</si>
  <si>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</si>
  <si>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</si>
  <si>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</si>
  <si>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</si>
  <si>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</si>
  <si>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</si>
  <si>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</si>
  <si>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</si>
  <si>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</si>
  <si>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</si>
  <si>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</si>
  <si>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</si>
  <si>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</si>
  <si>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</si>
  <si>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</si>
  <si>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</si>
  <si>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</si>
  <si>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</si>
  <si>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</si>
  <si>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</si>
  <si>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</si>
  <si>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</si>
  <si>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</si>
  <si>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</si>
  <si>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</si>
  <si>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</si>
  <si>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</si>
  <si>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</si>
  <si>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</si>
  <si>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</si>
  <si>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</si>
  <si>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</si>
  <si>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</si>
  <si>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</si>
  <si>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</si>
  <si>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</si>
  <si>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</si>
  <si>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</si>
  <si>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</si>
  <si>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</si>
  <si>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</si>
  <si>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</si>
  <si>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</si>
  <si>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</si>
  <si>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</si>
  <si>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</si>
  <si>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</si>
  <si>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</si>
  <si>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</si>
  <si>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</si>
  <si>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</si>
  <si>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</si>
  <si>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</si>
  <si>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</si>
  <si>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</si>
  <si>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</si>
  <si>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</si>
  <si>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</si>
  <si>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</si>
  <si>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</si>
  <si>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</si>
  <si>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</si>
  <si>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</si>
  <si>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</si>
  <si>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</si>
  <si>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</si>
  <si>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</si>
  <si>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</si>
  <si>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</si>
  <si>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</si>
  <si>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</si>
  <si>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</si>
  <si>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</si>
  <si>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</si>
  <si>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</si>
  <si>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</si>
  <si>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</si>
  <si>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</si>
  <si>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</si>
  <si>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</si>
  <si>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</si>
  <si>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</si>
  <si>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</si>
  <si>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</si>
  <si>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</si>
  <si>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</si>
  <si>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</si>
  <si>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</si>
  <si>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</si>
  <si>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</si>
  <si>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</si>
  <si>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</si>
  <si>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</si>
  <si>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</si>
  <si>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</si>
  <si>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</si>
  <si>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</si>
  <si>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</si>
  <si>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</si>
  <si>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</si>
  <si>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</si>
  <si>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</si>
  <si>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</si>
  <si>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</si>
  <si>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</si>
  <si>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</si>
  <si>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</si>
  <si>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</si>
  <si>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</si>
  <si>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</si>
  <si>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</si>
  <si>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</si>
  <si>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</si>
  <si>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</si>
  <si>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</si>
  <si>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</si>
  <si>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</si>
  <si>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</si>
  <si>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</si>
  <si>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</si>
  <si>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</si>
  <si>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</si>
  <si>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</si>
  <si>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</si>
  <si>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</si>
  <si>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</si>
  <si>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</si>
  <si>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</si>
  <si>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</si>
  <si>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</si>
  <si>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</si>
  <si>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</si>
  <si>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</si>
  <si>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</si>
  <si>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</si>
  <si>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</si>
  <si>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</si>
  <si>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</si>
  <si>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</si>
  <si>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</si>
  <si>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</si>
  <si>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</si>
  <si>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</si>
  <si>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</si>
  <si>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</si>
  <si>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</si>
  <si>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</si>
  <si>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</si>
  <si>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</si>
  <si>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</si>
  <si>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</si>
  <si>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</si>
  <si>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</si>
  <si>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</si>
  <si>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</si>
  <si>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</si>
  <si>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</si>
  <si>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</si>
  <si>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</si>
  <si>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</si>
  <si>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</si>
  <si>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</si>
  <si>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</si>
  <si>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</si>
  <si>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</si>
  <si>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</si>
  <si>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</si>
  <si>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</si>
  <si>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</si>
  <si>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</si>
  <si>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</si>
  <si>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</si>
  <si>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</si>
  <si>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</si>
  <si>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</si>
  <si>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</si>
  <si>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</si>
  <si>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</si>
  <si>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</si>
  <si>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</si>
  <si>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</si>
  <si>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</si>
  <si>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</si>
  <si>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</si>
  <si>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</si>
  <si>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</si>
  <si>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</si>
  <si>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</si>
  <si>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</si>
  <si>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</si>
  <si>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</si>
  <si>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</si>
  <si>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</si>
  <si>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</si>
  <si>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</si>
  <si>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</si>
  <si>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</si>
  <si>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</si>
  <si>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</si>
  <si>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</si>
  <si>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</si>
  <si>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</si>
  <si>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</si>
  <si>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</si>
  <si>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</si>
  <si>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</si>
  <si>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</si>
  <si>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</si>
  <si>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</si>
  <si>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</si>
  <si>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</si>
  <si>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</si>
  <si>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</si>
  <si>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</si>
  <si>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</si>
  <si>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</si>
  <si>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</si>
  <si>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</si>
  <si>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</si>
  <si>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</si>
  <si>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</si>
  <si>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</si>
  <si>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</si>
  <si>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</si>
  <si>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</si>
  <si>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</si>
  <si>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</si>
  <si>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</si>
  <si>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</si>
  <si>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</si>
  <si>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</si>
  <si>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</si>
  <si>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</si>
  <si>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</si>
  <si>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</si>
  <si>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</si>
  <si>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</si>
  <si>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</si>
  <si>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</si>
  <si>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</si>
  <si>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</si>
  <si>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</si>
  <si>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</si>
  <si>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</si>
  <si>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</si>
  <si>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</si>
  <si>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</si>
  <si>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</si>
  <si>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</si>
  <si>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</si>
  <si>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</si>
  <si>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</si>
  <si>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</si>
  <si>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</si>
  <si>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</si>
  <si>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</si>
  <si>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</si>
  <si>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</si>
  <si>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</si>
  <si>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</si>
  <si>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</si>
  <si>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</si>
  <si>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</si>
  <si>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</si>
  <si>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</si>
  <si>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</si>
  <si>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</si>
  <si>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</si>
  <si>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</si>
  <si>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</si>
  <si>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</si>
  <si>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</si>
  <si>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</si>
  <si>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</si>
  <si>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</si>
  <si>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</si>
  <si>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</si>
  <si>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</si>
  <si>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</si>
  <si>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</si>
  <si>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</si>
  <si>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</si>
  <si>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</si>
  <si>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</si>
  <si>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</si>
  <si>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</si>
  <si>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</si>
  <si>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</si>
  <si>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</si>
  <si>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</si>
  <si>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</si>
  <si>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</si>
  <si>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</si>
  <si>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</si>
  <si>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</si>
  <si>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</si>
  <si>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</si>
  <si>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</si>
  <si>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</si>
  <si>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</si>
  <si>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</si>
  <si>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</si>
  <si>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</si>
  <si>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</si>
  <si>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</si>
  <si>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</si>
  <si>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</si>
  <si>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</si>
  <si>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</si>
  <si>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</si>
  <si>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</si>
  <si>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</si>
  <si>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</si>
  <si>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</si>
  <si>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</si>
  <si>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</si>
  <si>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</si>
  <si>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</si>
  <si>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</si>
  <si>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</si>
  <si>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</si>
  <si>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</si>
  <si>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</si>
  <si>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</si>
  <si>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</si>
  <si>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</si>
  <si>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</si>
  <si>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</si>
  <si>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</si>
  <si>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</si>
  <si>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</si>
  <si>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</si>
  <si>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</si>
  <si>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</si>
  <si>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</si>
  <si>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</si>
  <si>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</si>
  <si>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</si>
  <si>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</si>
  <si>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</si>
  <si>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</si>
  <si>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</si>
  <si>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</si>
  <si>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</si>
  <si>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</si>
  <si>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</si>
  <si>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</si>
  <si>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</si>
  <si>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</si>
  <si>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</si>
  <si>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</si>
  <si>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</si>
  <si>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</si>
  <si>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</si>
  <si>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</si>
  <si>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</si>
  <si>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</si>
  <si>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</si>
  <si>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</si>
  <si>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</si>
  <si>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</si>
  <si>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</si>
  <si>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</si>
  <si>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</si>
  <si>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</si>
  <si>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</si>
  <si>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</si>
  <si>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</si>
  <si>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</si>
  <si>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</si>
  <si>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</si>
  <si>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</si>
  <si>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</si>
  <si>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</si>
  <si>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</si>
  <si>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</si>
  <si>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</si>
  <si>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</si>
  <si>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</si>
  <si>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</si>
  <si>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</si>
  <si>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</si>
  <si>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</si>
  <si>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</si>
  <si>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</si>
  <si>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</si>
  <si>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</si>
  <si>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</si>
  <si>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</si>
  <si>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</si>
  <si>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</si>
  <si>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</si>
  <si>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</si>
  <si>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</si>
  <si>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</si>
  <si>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</si>
  <si>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</si>
  <si>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</si>
  <si>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</si>
  <si>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</si>
  <si>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</si>
  <si>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</si>
  <si>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</si>
  <si>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</si>
  <si>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</si>
  <si>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</si>
  <si>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</si>
  <si>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</si>
  <si>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</si>
  <si>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</si>
  <si>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</si>
  <si>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</si>
  <si>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</si>
  <si>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</si>
  <si>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</si>
  <si>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</si>
  <si>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</si>
  <si>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</si>
  <si>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</si>
  <si>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</si>
  <si>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</si>
  <si>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</si>
  <si>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</si>
  <si>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</si>
  <si>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</si>
  <si>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</si>
  <si>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</si>
  <si>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</si>
  <si>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</si>
  <si>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</si>
  <si>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</si>
  <si>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</si>
  <si>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</si>
  <si>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</si>
  <si>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</si>
  <si>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</si>
  <si>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</si>
  <si>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</si>
  <si>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</si>
  <si>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</si>
  <si>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</si>
  <si>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</si>
  <si>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</si>
  <si>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</si>
  <si>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</si>
  <si>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</si>
  <si>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</si>
  <si>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</si>
  <si>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</si>
  <si>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</si>
  <si>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</si>
  <si>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</si>
  <si>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</si>
  <si>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</si>
  <si>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</si>
  <si>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</si>
  <si>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</si>
  <si>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</si>
  <si>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</si>
  <si>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</si>
  <si>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</si>
  <si>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</si>
  <si>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</si>
  <si>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</si>
  <si>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</si>
  <si>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</si>
  <si>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</si>
  <si>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</si>
  <si>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</si>
  <si>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</si>
  <si>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</si>
  <si>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</si>
  <si>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</si>
  <si>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</si>
  <si>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</si>
  <si>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</si>
  <si>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</si>
  <si>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</si>
  <si>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</si>
  <si>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</si>
  <si>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</si>
  <si>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</si>
  <si>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</si>
  <si>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</si>
  <si>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</si>
  <si>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</si>
  <si>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</si>
  <si>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</si>
  <si>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</si>
  <si>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</si>
  <si>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</si>
  <si>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</si>
  <si>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</si>
  <si>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</si>
  <si>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</si>
  <si>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</si>
  <si>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</si>
  <si>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</si>
  <si>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</si>
  <si>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</si>
  <si>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</si>
  <si>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</si>
  <si>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</si>
  <si>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</si>
  <si>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</si>
  <si>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</si>
  <si>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</si>
  <si>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</si>
  <si>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</si>
  <si>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</si>
  <si>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</si>
  <si>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</si>
  <si>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</si>
  <si>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</si>
  <si>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</si>
  <si>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</si>
  <si>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</si>
  <si>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</si>
  <si>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</si>
  <si>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</si>
  <si>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</si>
  <si>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</si>
  <si>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</si>
  <si>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</si>
  <si>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</si>
  <si>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</si>
  <si>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</si>
  <si>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</si>
  <si>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</si>
  <si>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</si>
  <si>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</si>
  <si>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</si>
  <si>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</si>
  <si>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</si>
  <si>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</si>
  <si>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</si>
  <si>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</si>
  <si>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</si>
  <si>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</si>
  <si>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</si>
  <si>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</si>
  <si>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</si>
  <si>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</si>
  <si>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</si>
  <si>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</si>
  <si>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</si>
  <si>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</si>
  <si>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</si>
  <si>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</si>
  <si>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</si>
  <si>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</si>
  <si>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</si>
  <si>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</si>
  <si>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</si>
  <si>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</si>
  <si>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</si>
  <si>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</si>
  <si>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</si>
  <si>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</si>
  <si>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</si>
  <si>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</si>
  <si>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</si>
  <si>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</si>
  <si>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</si>
  <si>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</si>
  <si>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</si>
  <si>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</si>
  <si>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</si>
  <si>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</si>
  <si>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</si>
  <si>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</si>
  <si>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</si>
  <si>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</si>
  <si>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</si>
  <si>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</si>
  <si>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</si>
  <si>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</si>
  <si>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</si>
  <si>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</si>
  <si>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</si>
  <si>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</si>
  <si>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</si>
  <si>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</si>
  <si>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</si>
  <si>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</si>
  <si>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</si>
  <si>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</si>
  <si>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</si>
  <si>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</si>
  <si>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</si>
  <si>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</si>
  <si>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</si>
  <si>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</si>
  <si>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</si>
  <si>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</si>
  <si>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</si>
  <si>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</si>
  <si>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</si>
  <si>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</si>
  <si>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</si>
  <si>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</si>
  <si>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</si>
  <si>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</si>
  <si>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</si>
  <si>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</si>
  <si>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</si>
  <si>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</si>
  <si>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</si>
  <si>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</si>
  <si>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</si>
  <si>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</si>
  <si>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</si>
  <si>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</si>
  <si>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</si>
  <si>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</si>
  <si>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</si>
  <si>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</si>
  <si>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</si>
  <si>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</si>
  <si>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</si>
  <si>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</si>
  <si>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</si>
  <si>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</si>
  <si>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</si>
  <si>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</si>
  <si>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</si>
  <si>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</si>
  <si>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</si>
  <si>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</si>
  <si>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</si>
  <si>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</si>
  <si>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</si>
  <si>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</si>
  <si>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</si>
  <si>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</si>
  <si>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</si>
  <si>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</si>
  <si>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</si>
  <si>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</si>
  <si>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</si>
  <si>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</si>
  <si>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</si>
  <si>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</si>
  <si>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</si>
  <si>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</si>
  <si>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</si>
  <si>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</si>
  <si>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</si>
  <si>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</si>
  <si>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</si>
  <si>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</si>
  <si>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</si>
  <si>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</si>
  <si>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</si>
  <si>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</si>
  <si>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</si>
  <si>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</si>
  <si>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</si>
  <si>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</si>
  <si>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</si>
  <si>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</si>
  <si>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</si>
  <si>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</si>
  <si>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</si>
  <si>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</si>
  <si>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</si>
  <si>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</si>
  <si>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</si>
  <si>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</si>
  <si>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</si>
  <si>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</si>
  <si>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</si>
  <si>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</si>
  <si>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</si>
  <si>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</si>
  <si>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</si>
  <si>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</si>
  <si>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</si>
  <si>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</si>
  <si>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</si>
  <si>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</si>
  <si>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</si>
  <si>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</si>
  <si>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</si>
  <si>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</si>
  <si>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</si>
  <si>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</si>
  <si>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</si>
  <si>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</si>
  <si>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</si>
  <si>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</si>
  <si>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</si>
  <si>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</si>
  <si>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</si>
  <si>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</si>
  <si>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</si>
  <si>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</si>
  <si>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</si>
  <si>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</si>
  <si>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</si>
  <si>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</si>
  <si>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</si>
  <si>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</si>
  <si>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</si>
  <si>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</si>
  <si>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</si>
  <si>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</si>
  <si>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</si>
  <si>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</si>
  <si>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</si>
  <si>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</si>
  <si>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</si>
  <si>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</si>
  <si>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</si>
  <si>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</si>
  <si>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</si>
  <si>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</si>
  <si>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</si>
  <si>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</si>
  <si>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</si>
  <si>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</si>
  <si>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</si>
  <si>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</si>
  <si>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</si>
  <si>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</si>
  <si>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</si>
  <si>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</si>
  <si>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</si>
  <si>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</si>
  <si>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</si>
  <si>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</si>
  <si>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</si>
  <si>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</si>
  <si>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</si>
  <si>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</si>
  <si>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</si>
  <si>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</si>
  <si>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</si>
  <si>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</si>
  <si>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</si>
  <si>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</si>
  <si>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</si>
  <si>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</si>
  <si>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</si>
  <si>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</si>
  <si>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</si>
  <si>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</si>
  <si>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</si>
  <si>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</si>
  <si>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</si>
  <si>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</si>
  <si>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</si>
  <si>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</si>
  <si>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</si>
  <si>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</si>
  <si>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</si>
  <si>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</si>
  <si>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</si>
  <si>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</si>
  <si>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</si>
  <si>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</si>
  <si>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</si>
  <si>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</si>
  <si>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</si>
  <si>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</si>
  <si>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</si>
  <si>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</si>
  <si>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</si>
  <si>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</si>
  <si>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</si>
  <si>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</si>
  <si>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</si>
  <si>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</si>
  <si>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</si>
  <si>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</si>
  <si>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</si>
  <si>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</si>
  <si>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</si>
  <si>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</si>
  <si>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</si>
  <si>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</si>
  <si>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</si>
  <si>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</si>
  <si>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</si>
  <si>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</si>
  <si>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</si>
  <si>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</si>
  <si>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</si>
  <si>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</si>
  <si>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</si>
  <si>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</si>
  <si>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</si>
  <si>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</si>
  <si>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</si>
  <si>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</si>
  <si>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</si>
  <si>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</si>
  <si>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</si>
  <si>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</si>
  <si>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</si>
  <si>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</si>
  <si>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</si>
  <si>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</si>
  <si>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</si>
  <si>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</si>
  <si>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</si>
  <si>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</si>
  <si>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</si>
  <si>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</si>
  <si>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</si>
  <si>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</si>
  <si>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</si>
  <si>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</si>
  <si>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</si>
  <si>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</si>
  <si>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</si>
  <si>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</si>
  <si>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</si>
  <si>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</si>
  <si>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</si>
  <si>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</si>
  <si>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</si>
  <si>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</si>
  <si>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</si>
  <si>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</si>
  <si>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</si>
  <si>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</si>
  <si>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</si>
  <si>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</si>
  <si>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</si>
  <si>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</si>
  <si>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</si>
  <si>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</si>
  <si>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</si>
  <si>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</si>
  <si>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</si>
  <si>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</si>
  <si>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</si>
  <si>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</si>
  <si>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</si>
  <si>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</si>
  <si>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NO-DISCOUNT</t>
  </si>
  <si>
    <t>Abandoned Cart</t>
  </si>
  <si>
    <t>Row Labels</t>
  </si>
  <si>
    <t>Grand Total</t>
  </si>
  <si>
    <t>Column Labels</t>
  </si>
  <si>
    <t>Min of UnitPrice</t>
  </si>
  <si>
    <t>MIN</t>
  </si>
  <si>
    <t>MAX</t>
  </si>
  <si>
    <t>MEDIAN</t>
  </si>
  <si>
    <t>Q1(25TH PERCENTILE)</t>
  </si>
  <si>
    <t>Q3(75TH PERCENTILE)</t>
  </si>
  <si>
    <t>IQR(INTERQUARTILE RANGE)</t>
  </si>
  <si>
    <t>UPPER BOUND</t>
  </si>
  <si>
    <t>Avg of UnitPrice</t>
  </si>
  <si>
    <t>Max of UnitPrice</t>
  </si>
  <si>
    <t>Count of OrderStatus</t>
  </si>
  <si>
    <t>Count of TotalPrice</t>
  </si>
  <si>
    <t>LostRevenue</t>
  </si>
  <si>
    <t>Sum of LostRevenue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</si>
</sst>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₦&quot;* #,##0.00_-;\-&quot;₦&quot;* #,##0.00_-;_-&quot;₦&quot;* &quot;-&quot;??_-;_-@_-"/>
    <numFmt numFmtId="164" formatCode="yyyy\-mm\-dd"/>
    <numFmt numFmtId="165" formatCode="_-[$$-409]* #,##0.00_ ;_-[$$-409]* \-#,##0.00\ ;_-[$$-409]* &quot;-&quot;??_ ;_-@_ "/>
    <numFmt numFmtId="166" formatCode="0.0"/>
    <numFmt numFmtId="167" formatCode="_-[$$-409]* #,##0_ ;_-[$$-409]* \-#,##0\ ;_-[$$-409]* &quot;-&quot;??_ ;_-@_ "/>
    <numFmt numFmtId="168" formatCode="[$$-2809]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10" fontId="0" fillId="0" borderId="0" xfId="0" applyNumberFormat="1"/>
    <xf numFmtId="168" fontId="0" fillId="0" borderId="0" xfId="0" applyNumberFormat="1"/>
  </cellXfs>
  <cellStyles count="2">
    <cellStyle name="Currency" xfId="1" builtinId="4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166" formatCode="0.0"/>
    </dxf>
    <dxf>
      <numFmt numFmtId="167" formatCode="_-[$$-409]* #,##0_ ;_-[$$-409]* \-#,##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409]* #,##0_ ;_-[$$-409]* \-#,##0\ ;_-[$$-409]* &quot;-&quot;??_ ;_-@_ "/>
    </dxf>
    <dxf>
      <numFmt numFmtId="0" formatCode="General"/>
    </dxf>
    <dxf>
      <numFmt numFmtId="167" formatCode="_-[$$-409]* #,##0_ ;_-[$$-409]* \-#,##0\ ;_-[$$-409]* &quot;-&quot;??_ ;_-@_ 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1 Cleaned Data.xlsx]EDA!PivotTable1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EDA!$B$1</c:f>
              <c:strCache>
                <c:ptCount val="1"/>
                <c:pt idx="0">
                  <c:v>Min of UnitPrice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EDA!$B$2:$B$9</c:f>
              <c:numCache>
                <c:formatCode>General</c:formatCode>
                <c:ptCount val="7"/>
                <c:pt idx="0">
                  <c:v>14.93</c:v>
                </c:pt>
                <c:pt idx="1">
                  <c:v>26.95</c:v>
                </c:pt>
                <c:pt idx="2">
                  <c:v>18.2</c:v>
                </c:pt>
                <c:pt idx="3">
                  <c:v>14.69</c:v>
                </c:pt>
                <c:pt idx="4">
                  <c:v>11.39</c:v>
                </c:pt>
                <c:pt idx="5">
                  <c:v>12.1</c:v>
                </c:pt>
                <c:pt idx="6">
                  <c:v>17.239999999999998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4F-4A5B-8262-3E1E7DBD3C9D}"/>
            </c:ext>
          </c:extLst>
        </c:ser>
        <c:ser>
          <c:idx val="1"/>
          <c:order val="1"/>
          <c:tx>
            <c:strRef>
              <c:f>EDA!$C$1</c:f>
              <c:strCache>
                <c:ptCount val="1"/>
                <c:pt idx="0">
                  <c:v>Max of UnitPrice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EDA!$C$2:$C$9</c:f>
              <c:numCache>
                <c:formatCode>General</c:formatCode>
                <c:ptCount val="7"/>
                <c:pt idx="0">
                  <c:v>695.29</c:v>
                </c:pt>
                <c:pt idx="1">
                  <c:v>697.93</c:v>
                </c:pt>
                <c:pt idx="2">
                  <c:v>699.93</c:v>
                </c:pt>
                <c:pt idx="3">
                  <c:v>696.71</c:v>
                </c:pt>
                <c:pt idx="4">
                  <c:v>695.1</c:v>
                </c:pt>
                <c:pt idx="5">
                  <c:v>697.19</c:v>
                </c:pt>
                <c:pt idx="6">
                  <c:v>699.88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4F-4A5B-8262-3E1E7DBD3C9D}"/>
            </c:ext>
          </c:extLst>
        </c:ser>
        <c:ser>
          <c:idx val="2"/>
          <c:order val="2"/>
          <c:tx>
            <c:strRef>
              <c:f>EDA!$D$1</c:f>
              <c:strCache>
                <c:ptCount val="1"/>
                <c:pt idx="0">
                  <c:v>Avg of UnitPrice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EDA!$D$2:$D$9</c:f>
              <c:numCache>
                <c:formatCode>General</c:formatCode>
                <c:ptCount val="7"/>
                <c:pt idx="0">
                  <c:v>355.66028089887635</c:v>
                </c:pt>
                <c:pt idx="1">
                  <c:v>329.60811764705858</c:v>
                </c:pt>
                <c:pt idx="2">
                  <c:v>357.70705202312132</c:v>
                </c:pt>
                <c:pt idx="3">
                  <c:v>358.66361963190184</c:v>
                </c:pt>
                <c:pt idx="4">
                  <c:v>375.21756410256421</c:v>
                </c:pt>
                <c:pt idx="5">
                  <c:v>351.71491712707206</c:v>
                </c:pt>
                <c:pt idx="6">
                  <c:v>367.67910614525124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4F-4A5B-8262-3E1E7DBD3C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995078783"/>
        <c:axId val="995092095"/>
      </c:barChart>
      <c:catAx>
        <c:axId val="9950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95092095"/>
        <c:crosses val="autoZero"/>
        <c:auto val="1"/>
        <c:lblAlgn val="ctr"/>
        <c:lblOffset val="100"/>
        <c:noMultiLvlLbl val="0"/>
      </c:catAx>
      <c:valAx>
        <c:axId val="99509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950787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 1 Cleaned Data.xlsx]EDA!PivotTable3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EDA!$B$16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EDA!$A$17:$A$22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EDA!$B$17:$B$22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</c:v>
                </c:pt>
                <c:pt idx="2">
                  <c:v>0.20083333333333334</c:v>
                </c:pt>
                <c:pt idx="3">
                  <c:v>0.21583333333333332</c:v>
                </c:pt>
                <c:pt idx="4">
                  <c:v>0.185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0-4365-A781-78C2BD0C3B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02450447"/>
        <c:axId val="802085135"/>
        <c:axId val="0"/>
      </c:bar3DChart>
      <c:catAx>
        <c:axId val="100245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02085135"/>
        <c:crosses val="autoZero"/>
        <c:auto val="1"/>
        <c:lblAlgn val="ctr"/>
        <c:lblOffset val="100"/>
        <c:noMultiLvlLbl val="0"/>
      </c:catAx>
      <c:valAx>
        <c:axId val="8020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0245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0</xdr:rowOff>
    </xdr:from>
    <xdr:to>
      <xdr:col>12</xdr:col>
      <xdr:colOff>180975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FE5FA-BE68-4431-86C4-F6F2DA69A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14</xdr:row>
      <xdr:rowOff>142875</xdr:rowOff>
    </xdr:from>
    <xdr:to>
      <xdr:col>12</xdr:col>
      <xdr:colOff>123825</xdr:colOff>
      <xdr:row>29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B1B115-844A-4402-9867-421C93B58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mide Eniitan" refreshedDate="46172.421511574074" createdVersion="7" refreshedVersion="7" minRefreshableVersion="3" recordCount="1200" xr:uid="{79B863A8-1C45-4DB8-B913-4E78547D6567}">
  <cacheSource type="worksheet">
    <worksheetSource name="Decodelabs"/>
  </cacheSource>
  <cacheFields count="18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7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Abandoned Cart" numFmtId="0">
      <sharedItems containsSemiMixedTypes="0" containsString="0" containsNumber="1" containsInteger="1" minValue="0" maxValue="5" count="6">
        <n v="2"/>
        <n v="1"/>
        <n v="3"/>
        <n v="4"/>
        <n v="5"/>
        <n v="0"/>
      </sharedItems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7">
      <sharedItems containsSemiMixedTypes="0" containsString="0" containsNumber="1" minValue="11.39" maxValue="3456.4"/>
    </cacheField>
    <cacheField name="LostRevenue" numFmtId="167">
      <sharedItems containsSemiMixedTypes="0" containsString="0" containsNumber="1" minValue="0" maxValue="3485.9500000000003"/>
    </cacheField>
    <cacheField name="Quarters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s v="SAVE10"/>
    <x v="0"/>
    <n v="2853.1"/>
    <n v="1141.24"/>
  </r>
  <r>
    <s v="ORD200001"/>
    <x v="1"/>
    <s v="C75739"/>
    <x v="1"/>
    <n v="2"/>
    <n v="151.35"/>
    <s v="823 Main St"/>
    <x v="1"/>
    <x v="0"/>
    <s v="TRK91186779"/>
    <n v="3"/>
    <x v="1"/>
    <s v="SAVE10"/>
    <x v="1"/>
    <n v="302.7"/>
    <n v="151.35"/>
  </r>
  <r>
    <s v="ORD200002"/>
    <x v="2"/>
    <s v="C81728"/>
    <x v="2"/>
    <n v="5"/>
    <n v="550.67999999999995"/>
    <s v="512 Main St"/>
    <x v="2"/>
    <x v="1"/>
    <s v="TRK42903982"/>
    <n v="8"/>
    <x v="2"/>
    <s v="FREESHIP"/>
    <x v="2"/>
    <n v="2753.4"/>
    <n v="1652.04"/>
  </r>
  <r>
    <s v="ORD200003"/>
    <x v="3"/>
    <s v="C33540"/>
    <x v="3"/>
    <n v="1"/>
    <n v="273.19"/>
    <s v="275 Main St"/>
    <x v="0"/>
    <x v="2"/>
    <s v="TRK62788070"/>
    <n v="5"/>
    <x v="3"/>
    <s v="SAVE10"/>
    <x v="3"/>
    <n v="273.19"/>
    <n v="1092.76"/>
  </r>
  <r>
    <s v="ORD200004"/>
    <x v="4"/>
    <s v="C81840"/>
    <x v="4"/>
    <n v="4"/>
    <n v="626.01"/>
    <s v="668 Main St"/>
    <x v="1"/>
    <x v="3"/>
    <s v="TRK29241424"/>
    <n v="8"/>
    <x v="3"/>
    <s v="SAVE10"/>
    <x v="2"/>
    <n v="2504.04"/>
    <n v="2504.04"/>
  </r>
  <r>
    <s v="ORD200005"/>
    <x v="5"/>
    <s v="C37249"/>
    <x v="1"/>
    <n v="2"/>
    <n v="245.86"/>
    <s v="934 Main St"/>
    <x v="2"/>
    <x v="0"/>
    <s v="TRK72976927"/>
    <n v="4"/>
    <x v="0"/>
    <s v="SAVE10"/>
    <x v="0"/>
    <n v="491.72"/>
    <n v="491.72"/>
  </r>
  <r>
    <s v="ORD200006"/>
    <x v="6"/>
    <s v="C83492"/>
    <x v="5"/>
    <n v="1"/>
    <n v="664.42"/>
    <s v="986 Main St"/>
    <x v="3"/>
    <x v="2"/>
    <s v="TRK96417362"/>
    <n v="6"/>
    <x v="4"/>
    <s v="SAVE10"/>
    <x v="3"/>
    <n v="664.42"/>
    <n v="3322.1"/>
  </r>
  <r>
    <s v="ORD200007"/>
    <x v="7"/>
    <s v="C41460"/>
    <x v="0"/>
    <n v="5"/>
    <n v="149.55000000000001"/>
    <s v="706 Main St"/>
    <x v="4"/>
    <x v="0"/>
    <s v="TRK78809193"/>
    <n v="9"/>
    <x v="3"/>
    <s v="FREESHIP"/>
    <x v="3"/>
    <n v="747.75"/>
    <n v="598.20000000000005"/>
  </r>
  <r>
    <s v="ORD200008"/>
    <x v="8"/>
    <s v="C26817"/>
    <x v="1"/>
    <n v="2"/>
    <n v="134.28"/>
    <s v="904 Main St"/>
    <x v="3"/>
    <x v="1"/>
    <s v="TRK61042692"/>
    <n v="2"/>
    <x v="5"/>
    <s v="NO-DISCOUNT"/>
    <x v="2"/>
    <n v="268.56"/>
    <n v="0"/>
  </r>
  <r>
    <s v="ORD200009"/>
    <x v="9"/>
    <s v="C31946"/>
    <x v="6"/>
    <n v="4"/>
    <n v="509.38"/>
    <s v="102 Main St"/>
    <x v="2"/>
    <x v="0"/>
    <s v="TRK33478363"/>
    <n v="6"/>
    <x v="0"/>
    <s v="SAVE10"/>
    <x v="4"/>
    <n v="2037.52"/>
    <n v="1018.76"/>
  </r>
  <r>
    <s v="ORD200010"/>
    <x v="10"/>
    <s v="C43443"/>
    <x v="2"/>
    <n v="5"/>
    <n v="625.97"/>
    <s v="333 Main St"/>
    <x v="2"/>
    <x v="2"/>
    <s v="TRK98859248"/>
    <n v="9"/>
    <x v="3"/>
    <s v="WINTER15"/>
    <x v="0"/>
    <n v="3129.85"/>
    <n v="2503.88"/>
  </r>
  <r>
    <s v="ORD200011"/>
    <x v="11"/>
    <s v="C93861"/>
    <x v="0"/>
    <n v="3"/>
    <n v="49.14"/>
    <s v="831 Main St"/>
    <x v="1"/>
    <x v="2"/>
    <s v="TRK48234646"/>
    <n v="7"/>
    <x v="3"/>
    <s v="SAVE10"/>
    <x v="2"/>
    <n v="147.41999999999999"/>
    <n v="196.56"/>
  </r>
  <r>
    <s v="ORD200012"/>
    <x v="12"/>
    <s v="C38785"/>
    <x v="0"/>
    <n v="2"/>
    <n v="180.5"/>
    <s v="179 Main St"/>
    <x v="0"/>
    <x v="4"/>
    <s v="TRK20419991"/>
    <n v="6"/>
    <x v="3"/>
    <s v="FREESHIP"/>
    <x v="1"/>
    <n v="361"/>
    <n v="722"/>
  </r>
  <r>
    <s v="ORD200013"/>
    <x v="13"/>
    <s v="C88348"/>
    <x v="5"/>
    <n v="3"/>
    <n v="201.49"/>
    <s v="903 Main St"/>
    <x v="2"/>
    <x v="2"/>
    <s v="TRK81913874"/>
    <n v="4"/>
    <x v="1"/>
    <s v="FREESHIP"/>
    <x v="3"/>
    <n v="604.47"/>
    <n v="201.49"/>
  </r>
  <r>
    <s v="ORD200014"/>
    <x v="14"/>
    <s v="C98474"/>
    <x v="2"/>
    <n v="2"/>
    <n v="393.33"/>
    <s v="980 Main St"/>
    <x v="0"/>
    <x v="4"/>
    <s v="TRK79186539"/>
    <n v="3"/>
    <x v="1"/>
    <s v="SAVE10"/>
    <x v="0"/>
    <n v="786.66"/>
    <n v="393.33"/>
  </r>
  <r>
    <s v="ORD200015"/>
    <x v="15"/>
    <s v="C39416"/>
    <x v="4"/>
    <n v="1"/>
    <n v="473.96"/>
    <s v="942 Main St"/>
    <x v="4"/>
    <x v="3"/>
    <s v="TRK54930938"/>
    <n v="3"/>
    <x v="0"/>
    <s v="NO-DISCOUNT"/>
    <x v="4"/>
    <n v="473.96"/>
    <n v="947.92"/>
  </r>
  <r>
    <s v="ORD200016"/>
    <x v="16"/>
    <s v="C28976"/>
    <x v="4"/>
    <n v="2"/>
    <n v="533.80999999999995"/>
    <s v="914 Main St"/>
    <x v="2"/>
    <x v="4"/>
    <s v="TRK13194259"/>
    <n v="3"/>
    <x v="1"/>
    <s v="FREESHIP"/>
    <x v="2"/>
    <n v="1067.6199999999999"/>
    <n v="533.80999999999995"/>
  </r>
  <r>
    <s v="ORD200017"/>
    <x v="17"/>
    <s v="C60672"/>
    <x v="2"/>
    <n v="1"/>
    <n v="423.4"/>
    <s v="382 Main St"/>
    <x v="0"/>
    <x v="0"/>
    <s v="TRK11972116"/>
    <n v="3"/>
    <x v="0"/>
    <s v="NO-DISCOUNT"/>
    <x v="1"/>
    <n v="423.4"/>
    <n v="846.8"/>
  </r>
  <r>
    <s v="ORD200018"/>
    <x v="18"/>
    <s v="C84329"/>
    <x v="6"/>
    <n v="1"/>
    <n v="431.44"/>
    <s v="891 Main St"/>
    <x v="3"/>
    <x v="4"/>
    <s v="TRK65191045"/>
    <n v="3"/>
    <x v="0"/>
    <s v="SAVE10"/>
    <x v="3"/>
    <n v="431.44"/>
    <n v="862.88"/>
  </r>
  <r>
    <s v="ORD200019"/>
    <x v="19"/>
    <s v="C14552"/>
    <x v="0"/>
    <n v="5"/>
    <n v="224"/>
    <s v="273 Main St"/>
    <x v="4"/>
    <x v="2"/>
    <s v="TRK59101365"/>
    <n v="9"/>
    <x v="3"/>
    <s v="SAVE10"/>
    <x v="4"/>
    <n v="1120"/>
    <n v="896"/>
  </r>
  <r>
    <s v="ORD200020"/>
    <x v="20"/>
    <s v="C54829"/>
    <x v="3"/>
    <n v="5"/>
    <n v="62.51"/>
    <s v="587 Main St"/>
    <x v="4"/>
    <x v="4"/>
    <s v="TRK16718651"/>
    <n v="9"/>
    <x v="3"/>
    <s v="WINTER15"/>
    <x v="0"/>
    <n v="312.55"/>
    <n v="250.04"/>
  </r>
  <r>
    <s v="ORD200021"/>
    <x v="21"/>
    <s v="C99023"/>
    <x v="0"/>
    <n v="4"/>
    <n v="342.95"/>
    <s v="569 Main St"/>
    <x v="4"/>
    <x v="3"/>
    <s v="TRK52646983"/>
    <n v="6"/>
    <x v="0"/>
    <s v="NO-DISCOUNT"/>
    <x v="4"/>
    <n v="1371.8"/>
    <n v="685.9"/>
  </r>
  <r>
    <s v="ORD200022"/>
    <x v="22"/>
    <s v="C34416"/>
    <x v="0"/>
    <n v="2"/>
    <n v="49.62"/>
    <s v="633 Main St"/>
    <x v="1"/>
    <x v="4"/>
    <s v="TRK75937350"/>
    <n v="2"/>
    <x v="5"/>
    <s v="SAVE10"/>
    <x v="4"/>
    <n v="99.24"/>
    <n v="0"/>
  </r>
  <r>
    <s v="ORD200023"/>
    <x v="23"/>
    <s v="C42372"/>
    <x v="1"/>
    <n v="4"/>
    <n v="273.25"/>
    <s v="755 Main St"/>
    <x v="0"/>
    <x v="1"/>
    <s v="TRK36168083"/>
    <n v="5"/>
    <x v="1"/>
    <s v="FREESHIP"/>
    <x v="1"/>
    <n v="1093"/>
    <n v="273.25"/>
  </r>
  <r>
    <s v="ORD200024"/>
    <x v="24"/>
    <s v="C17470"/>
    <x v="5"/>
    <n v="2"/>
    <n v="230.95"/>
    <s v="956 Main St"/>
    <x v="1"/>
    <x v="3"/>
    <s v="TRK28775057"/>
    <n v="3"/>
    <x v="1"/>
    <s v="WINTER15"/>
    <x v="1"/>
    <n v="461.9"/>
    <n v="230.95"/>
  </r>
  <r>
    <s v="ORD200025"/>
    <x v="25"/>
    <s v="C42577"/>
    <x v="0"/>
    <n v="1"/>
    <n v="399.98"/>
    <s v="709 Main St"/>
    <x v="0"/>
    <x v="3"/>
    <s v="TRK69423327"/>
    <n v="3"/>
    <x v="0"/>
    <s v="WINTER15"/>
    <x v="2"/>
    <n v="399.98"/>
    <n v="799.96"/>
  </r>
  <r>
    <s v="ORD200026"/>
    <x v="26"/>
    <s v="C21944"/>
    <x v="5"/>
    <n v="5"/>
    <n v="59.55"/>
    <s v="296 Main St"/>
    <x v="1"/>
    <x v="3"/>
    <s v="TRK80276812"/>
    <n v="6"/>
    <x v="1"/>
    <s v="NO-DISCOUNT"/>
    <x v="1"/>
    <n v="297.75"/>
    <n v="59.55"/>
  </r>
  <r>
    <s v="ORD200027"/>
    <x v="27"/>
    <s v="C97593"/>
    <x v="4"/>
    <n v="1"/>
    <n v="472.74"/>
    <s v="881 Main St"/>
    <x v="1"/>
    <x v="0"/>
    <s v="TRK89117573"/>
    <n v="6"/>
    <x v="4"/>
    <s v="WINTER15"/>
    <x v="4"/>
    <n v="472.74"/>
    <n v="2363.6999999999998"/>
  </r>
  <r>
    <s v="ORD200028"/>
    <x v="9"/>
    <s v="C59823"/>
    <x v="1"/>
    <n v="4"/>
    <n v="160.07"/>
    <s v="568 Main St"/>
    <x v="1"/>
    <x v="4"/>
    <s v="TRK65895539"/>
    <n v="5"/>
    <x v="1"/>
    <s v="NO-DISCOUNT"/>
    <x v="2"/>
    <n v="640.28"/>
    <n v="160.07"/>
  </r>
  <r>
    <s v="ORD200029"/>
    <x v="28"/>
    <s v="C33260"/>
    <x v="6"/>
    <n v="3"/>
    <n v="423.53"/>
    <s v="930 Main St"/>
    <x v="2"/>
    <x v="3"/>
    <s v="TRK59744090"/>
    <n v="6"/>
    <x v="2"/>
    <s v="SAVE10"/>
    <x v="1"/>
    <n v="1270.5899999999999"/>
    <n v="1270.5899999999999"/>
  </r>
  <r>
    <s v="ORD200030"/>
    <x v="29"/>
    <s v="C44267"/>
    <x v="0"/>
    <n v="2"/>
    <n v="426.7"/>
    <s v="895 Main St"/>
    <x v="1"/>
    <x v="4"/>
    <s v="TRK54751444"/>
    <n v="5"/>
    <x v="2"/>
    <s v="SAVE10"/>
    <x v="1"/>
    <n v="853.4"/>
    <n v="1280.0999999999999"/>
  </r>
  <r>
    <s v="ORD200031"/>
    <x v="30"/>
    <s v="C26445"/>
    <x v="3"/>
    <n v="3"/>
    <n v="500.08"/>
    <s v="996 Main St"/>
    <x v="0"/>
    <x v="2"/>
    <s v="TRK31229981"/>
    <n v="6"/>
    <x v="2"/>
    <s v="NO-DISCOUNT"/>
    <x v="3"/>
    <n v="1500.24"/>
    <n v="1500.24"/>
  </r>
  <r>
    <s v="ORD200032"/>
    <x v="31"/>
    <s v="C12388"/>
    <x v="2"/>
    <n v="5"/>
    <n v="536.72"/>
    <s v="830 Main St"/>
    <x v="4"/>
    <x v="3"/>
    <s v="TRK99261395"/>
    <n v="10"/>
    <x v="4"/>
    <s v="NO-DISCOUNT"/>
    <x v="2"/>
    <n v="2683.6"/>
    <n v="2683.6000000000004"/>
  </r>
  <r>
    <s v="ORD200033"/>
    <x v="32"/>
    <s v="C52184"/>
    <x v="3"/>
    <n v="1"/>
    <n v="162.77000000000001"/>
    <s v="912 Main St"/>
    <x v="1"/>
    <x v="1"/>
    <s v="TRK73312471"/>
    <n v="4"/>
    <x v="2"/>
    <s v="WINTER15"/>
    <x v="3"/>
    <n v="162.77000000000001"/>
    <n v="488.31000000000006"/>
  </r>
  <r>
    <s v="ORD200034"/>
    <x v="33"/>
    <s v="C67195"/>
    <x v="3"/>
    <n v="4"/>
    <n v="576.52"/>
    <s v="926 Main St"/>
    <x v="2"/>
    <x v="4"/>
    <s v="TRK55467915"/>
    <n v="5"/>
    <x v="1"/>
    <s v="WINTER15"/>
    <x v="3"/>
    <n v="2306.08"/>
    <n v="576.52"/>
  </r>
  <r>
    <s v="ORD200035"/>
    <x v="34"/>
    <s v="C50304"/>
    <x v="0"/>
    <n v="2"/>
    <n v="465.15"/>
    <s v="128 Main St"/>
    <x v="1"/>
    <x v="0"/>
    <s v="TRK46850888"/>
    <n v="2"/>
    <x v="5"/>
    <s v="SAVE10"/>
    <x v="3"/>
    <n v="930.3"/>
    <n v="0"/>
  </r>
  <r>
    <s v="ORD200036"/>
    <x v="4"/>
    <s v="C59337"/>
    <x v="5"/>
    <n v="2"/>
    <n v="534.42999999999995"/>
    <s v="465 Main St"/>
    <x v="0"/>
    <x v="4"/>
    <s v="TRK50961250"/>
    <n v="5"/>
    <x v="2"/>
    <s v="NO-DISCOUNT"/>
    <x v="3"/>
    <n v="1068.8599999999999"/>
    <n v="1603.29"/>
  </r>
  <r>
    <s v="ORD200037"/>
    <x v="35"/>
    <s v="C10054"/>
    <x v="5"/>
    <n v="2"/>
    <n v="76.739999999999995"/>
    <s v="409 Main St"/>
    <x v="4"/>
    <x v="2"/>
    <s v="TRK94005261"/>
    <n v="7"/>
    <x v="4"/>
    <s v="SAVE10"/>
    <x v="0"/>
    <n v="153.47999999999999"/>
    <n v="383.7"/>
  </r>
  <r>
    <s v="ORD200038"/>
    <x v="36"/>
    <s v="C15924"/>
    <x v="5"/>
    <n v="1"/>
    <n v="245.89"/>
    <s v="549 Main St"/>
    <x v="0"/>
    <x v="3"/>
    <s v="TRK14835975"/>
    <n v="3"/>
    <x v="0"/>
    <s v="SAVE10"/>
    <x v="4"/>
    <n v="245.89"/>
    <n v="491.78"/>
  </r>
  <r>
    <s v="ORD200039"/>
    <x v="37"/>
    <s v="C96664"/>
    <x v="4"/>
    <n v="3"/>
    <n v="256.45999999999998"/>
    <s v="666 Main St"/>
    <x v="2"/>
    <x v="3"/>
    <s v="TRK85508960"/>
    <n v="4"/>
    <x v="1"/>
    <s v="SAVE10"/>
    <x v="1"/>
    <n v="769.37999999999988"/>
    <n v="256.45999999999998"/>
  </r>
  <r>
    <s v="ORD200040"/>
    <x v="38"/>
    <s v="C84766"/>
    <x v="6"/>
    <n v="2"/>
    <n v="344.02"/>
    <s v="267 Main St"/>
    <x v="1"/>
    <x v="3"/>
    <s v="TRK78967923"/>
    <n v="4"/>
    <x v="0"/>
    <s v="FREESHIP"/>
    <x v="0"/>
    <n v="688.04"/>
    <n v="688.04"/>
  </r>
  <r>
    <s v="ORD200041"/>
    <x v="39"/>
    <s v="C20212"/>
    <x v="0"/>
    <n v="3"/>
    <n v="611.45000000000005"/>
    <s v="657 Main St"/>
    <x v="3"/>
    <x v="4"/>
    <s v="TRK69733327"/>
    <n v="4"/>
    <x v="1"/>
    <s v="FREESHIP"/>
    <x v="0"/>
    <n v="1834.35"/>
    <n v="611.45000000000005"/>
  </r>
  <r>
    <s v="ORD200042"/>
    <x v="40"/>
    <s v="C28712"/>
    <x v="4"/>
    <n v="2"/>
    <n v="151.66"/>
    <s v="980 Main St"/>
    <x v="4"/>
    <x v="1"/>
    <s v="TRK40772558"/>
    <n v="6"/>
    <x v="3"/>
    <s v="NO-DISCOUNT"/>
    <x v="0"/>
    <n v="303.32"/>
    <n v="606.64"/>
  </r>
  <r>
    <s v="ORD200043"/>
    <x v="41"/>
    <s v="C60572"/>
    <x v="3"/>
    <n v="3"/>
    <n v="499.21"/>
    <s v="871 Main St"/>
    <x v="1"/>
    <x v="1"/>
    <s v="TRK20351666"/>
    <n v="8"/>
    <x v="4"/>
    <s v="NO-DISCOUNT"/>
    <x v="0"/>
    <n v="1497.63"/>
    <n v="2496.0499999999997"/>
  </r>
  <r>
    <s v="ORD200044"/>
    <x v="42"/>
    <s v="C73225"/>
    <x v="1"/>
    <n v="2"/>
    <n v="550.17999999999995"/>
    <s v="996 Main St"/>
    <x v="3"/>
    <x v="2"/>
    <s v="TRK73848522"/>
    <n v="3"/>
    <x v="1"/>
    <s v="FREESHIP"/>
    <x v="1"/>
    <n v="1100.3599999999999"/>
    <n v="550.17999999999995"/>
  </r>
  <r>
    <s v="ORD200045"/>
    <x v="43"/>
    <s v="C17388"/>
    <x v="3"/>
    <n v="1"/>
    <n v="317.25"/>
    <s v="157 Main St"/>
    <x v="0"/>
    <x v="2"/>
    <s v="TRK47077395"/>
    <n v="1"/>
    <x v="5"/>
    <s v="SAVE10"/>
    <x v="3"/>
    <n v="317.25"/>
    <n v="0"/>
  </r>
  <r>
    <s v="ORD200046"/>
    <x v="44"/>
    <s v="C43212"/>
    <x v="0"/>
    <n v="4"/>
    <n v="550.14"/>
    <s v="223 Main St"/>
    <x v="0"/>
    <x v="4"/>
    <s v="TRK25100762"/>
    <n v="4"/>
    <x v="5"/>
    <s v="FREESHIP"/>
    <x v="0"/>
    <n v="2200.56"/>
    <n v="0"/>
  </r>
  <r>
    <s v="ORD200047"/>
    <x v="45"/>
    <s v="C38134"/>
    <x v="6"/>
    <n v="2"/>
    <n v="209.94"/>
    <s v="323 Main St"/>
    <x v="2"/>
    <x v="2"/>
    <s v="TRK42450754"/>
    <n v="3"/>
    <x v="1"/>
    <s v="FREESHIP"/>
    <x v="2"/>
    <n v="419.88"/>
    <n v="209.94"/>
  </r>
  <r>
    <s v="ORD200048"/>
    <x v="46"/>
    <s v="C12408"/>
    <x v="0"/>
    <n v="2"/>
    <n v="80.77"/>
    <s v="464 Main St"/>
    <x v="0"/>
    <x v="0"/>
    <s v="TRK38938858"/>
    <n v="4"/>
    <x v="0"/>
    <s v="NO-DISCOUNT"/>
    <x v="4"/>
    <n v="161.54"/>
    <n v="161.54"/>
  </r>
  <r>
    <s v="ORD200049"/>
    <x v="47"/>
    <s v="C11985"/>
    <x v="4"/>
    <n v="1"/>
    <n v="30.44"/>
    <s v="633 Main St"/>
    <x v="2"/>
    <x v="0"/>
    <s v="TRK53272402"/>
    <n v="1"/>
    <x v="5"/>
    <s v="SAVE10"/>
    <x v="2"/>
    <n v="30.44"/>
    <n v="0"/>
  </r>
  <r>
    <s v="ORD200050"/>
    <x v="48"/>
    <s v="C96494"/>
    <x v="2"/>
    <n v="1"/>
    <n v="179.22"/>
    <s v="446 Main St"/>
    <x v="1"/>
    <x v="1"/>
    <s v="TRK14675049"/>
    <n v="6"/>
    <x v="4"/>
    <s v="FREESHIP"/>
    <x v="0"/>
    <n v="179.22"/>
    <n v="896.1"/>
  </r>
  <r>
    <s v="ORD200051"/>
    <x v="49"/>
    <s v="C36778"/>
    <x v="2"/>
    <n v="1"/>
    <n v="388.33"/>
    <s v="434 Main St"/>
    <x v="4"/>
    <x v="2"/>
    <s v="TRK67610289"/>
    <n v="2"/>
    <x v="1"/>
    <s v="SAVE10"/>
    <x v="3"/>
    <n v="388.33"/>
    <n v="388.33"/>
  </r>
  <r>
    <s v="ORD200052"/>
    <x v="50"/>
    <s v="C30513"/>
    <x v="2"/>
    <n v="1"/>
    <n v="586.44000000000005"/>
    <s v="232 Main St"/>
    <x v="1"/>
    <x v="2"/>
    <s v="TRK64320429"/>
    <n v="5"/>
    <x v="3"/>
    <s v="SAVE10"/>
    <x v="3"/>
    <n v="586.44000000000005"/>
    <n v="2345.7600000000002"/>
  </r>
  <r>
    <s v="ORD200053"/>
    <x v="51"/>
    <s v="C67551"/>
    <x v="1"/>
    <n v="4"/>
    <n v="488.78"/>
    <s v="512 Main St"/>
    <x v="1"/>
    <x v="2"/>
    <s v="TRK94992552"/>
    <n v="5"/>
    <x v="1"/>
    <s v="FREESHIP"/>
    <x v="4"/>
    <n v="1955.12"/>
    <n v="488.78"/>
  </r>
  <r>
    <s v="ORD200054"/>
    <x v="52"/>
    <s v="C48120"/>
    <x v="3"/>
    <n v="1"/>
    <n v="280.25"/>
    <s v="623 Main St"/>
    <x v="1"/>
    <x v="4"/>
    <s v="TRK11014449"/>
    <n v="5"/>
    <x v="3"/>
    <s v="WINTER15"/>
    <x v="2"/>
    <n v="280.25"/>
    <n v="1121"/>
  </r>
  <r>
    <s v="ORD200055"/>
    <x v="53"/>
    <s v="C95984"/>
    <x v="4"/>
    <n v="3"/>
    <n v="344.4"/>
    <s v="565 Main St"/>
    <x v="1"/>
    <x v="1"/>
    <s v="TRK67434829"/>
    <n v="3"/>
    <x v="5"/>
    <s v="NO-DISCOUNT"/>
    <x v="3"/>
    <n v="1033.2"/>
    <n v="0"/>
  </r>
  <r>
    <s v="ORD200056"/>
    <x v="54"/>
    <s v="C54298"/>
    <x v="2"/>
    <n v="3"/>
    <n v="479.21"/>
    <s v="566 Main St"/>
    <x v="4"/>
    <x v="1"/>
    <s v="TRK62902341"/>
    <n v="5"/>
    <x v="0"/>
    <s v="WINTER15"/>
    <x v="1"/>
    <n v="1437.63"/>
    <n v="958.42"/>
  </r>
  <r>
    <s v="ORD200057"/>
    <x v="55"/>
    <s v="C88036"/>
    <x v="4"/>
    <n v="5"/>
    <n v="314.27"/>
    <s v="842 Main St"/>
    <x v="4"/>
    <x v="2"/>
    <s v="TRK52470128"/>
    <n v="6"/>
    <x v="1"/>
    <s v="SAVE10"/>
    <x v="0"/>
    <n v="1571.35"/>
    <n v="314.27"/>
  </r>
  <r>
    <s v="ORD200058"/>
    <x v="56"/>
    <s v="C60190"/>
    <x v="1"/>
    <n v="4"/>
    <n v="474.69"/>
    <s v="202 Main St"/>
    <x v="3"/>
    <x v="1"/>
    <s v="TRK70857868"/>
    <n v="6"/>
    <x v="0"/>
    <s v="SAVE10"/>
    <x v="4"/>
    <n v="1898.76"/>
    <n v="949.38"/>
  </r>
  <r>
    <s v="ORD200059"/>
    <x v="57"/>
    <s v="C97603"/>
    <x v="3"/>
    <n v="4"/>
    <n v="593.27"/>
    <s v="811 Main St"/>
    <x v="1"/>
    <x v="0"/>
    <s v="TRK47055028"/>
    <n v="5"/>
    <x v="1"/>
    <s v="NO-DISCOUNT"/>
    <x v="3"/>
    <n v="2373.08"/>
    <n v="593.27"/>
  </r>
  <r>
    <s v="ORD200060"/>
    <x v="58"/>
    <s v="C39256"/>
    <x v="6"/>
    <n v="1"/>
    <n v="417.1"/>
    <s v="634 Main St"/>
    <x v="0"/>
    <x v="2"/>
    <s v="TRK23412025"/>
    <n v="3"/>
    <x v="0"/>
    <s v="FREESHIP"/>
    <x v="1"/>
    <n v="417.1"/>
    <n v="834.2"/>
  </r>
  <r>
    <s v="ORD200061"/>
    <x v="59"/>
    <s v="C61618"/>
    <x v="6"/>
    <n v="4"/>
    <n v="122.2"/>
    <s v="104 Main St"/>
    <x v="4"/>
    <x v="3"/>
    <s v="TRK43458485"/>
    <n v="7"/>
    <x v="2"/>
    <s v="FREESHIP"/>
    <x v="3"/>
    <n v="488.8"/>
    <n v="366.6"/>
  </r>
  <r>
    <s v="ORD200062"/>
    <x v="60"/>
    <s v="C36497"/>
    <x v="6"/>
    <n v="2"/>
    <n v="43.15"/>
    <s v="691 Main St"/>
    <x v="0"/>
    <x v="4"/>
    <s v="TRK12102911"/>
    <n v="3"/>
    <x v="1"/>
    <s v="WINTER15"/>
    <x v="2"/>
    <n v="86.3"/>
    <n v="43.15"/>
  </r>
  <r>
    <s v="ORD200063"/>
    <x v="61"/>
    <s v="C96695"/>
    <x v="3"/>
    <n v="1"/>
    <n v="564.86"/>
    <s v="813 Main St"/>
    <x v="0"/>
    <x v="0"/>
    <s v="TRK64283851"/>
    <n v="6"/>
    <x v="4"/>
    <s v="WINTER15"/>
    <x v="1"/>
    <n v="564.86"/>
    <n v="2824.3"/>
  </r>
  <r>
    <s v="ORD200064"/>
    <x v="62"/>
    <s v="C49720"/>
    <x v="4"/>
    <n v="3"/>
    <n v="130.61000000000001"/>
    <s v="752 Main St"/>
    <x v="0"/>
    <x v="1"/>
    <s v="TRK55785217"/>
    <n v="4"/>
    <x v="1"/>
    <s v="FREESHIP"/>
    <x v="3"/>
    <n v="391.83"/>
    <n v="130.61000000000001"/>
  </r>
  <r>
    <s v="ORD200065"/>
    <x v="63"/>
    <s v="C97735"/>
    <x v="0"/>
    <n v="5"/>
    <n v="81.7"/>
    <s v="385 Main St"/>
    <x v="2"/>
    <x v="3"/>
    <s v="TRK13743703"/>
    <n v="6"/>
    <x v="1"/>
    <s v="NO-DISCOUNT"/>
    <x v="0"/>
    <n v="408.5"/>
    <n v="81.7"/>
  </r>
  <r>
    <s v="ORD200066"/>
    <x v="64"/>
    <s v="C18104"/>
    <x v="3"/>
    <n v="5"/>
    <n v="127.18"/>
    <s v="715 Main St"/>
    <x v="4"/>
    <x v="1"/>
    <s v="TRK15488568"/>
    <n v="9"/>
    <x v="3"/>
    <s v="SAVE10"/>
    <x v="1"/>
    <n v="635.90000000000009"/>
    <n v="508.72"/>
  </r>
  <r>
    <s v="ORD200067"/>
    <x v="65"/>
    <s v="C25587"/>
    <x v="4"/>
    <n v="4"/>
    <n v="12.1"/>
    <s v="440 Main St"/>
    <x v="0"/>
    <x v="1"/>
    <s v="TRK55105323"/>
    <n v="8"/>
    <x v="3"/>
    <s v="NO-DISCOUNT"/>
    <x v="4"/>
    <n v="48.4"/>
    <n v="48.4"/>
  </r>
  <r>
    <s v="ORD200068"/>
    <x v="66"/>
    <s v="C41598"/>
    <x v="3"/>
    <n v="3"/>
    <n v="490.92"/>
    <s v="709 Main St"/>
    <x v="2"/>
    <x v="4"/>
    <s v="TRK81665940"/>
    <n v="5"/>
    <x v="0"/>
    <s v="FREESHIP"/>
    <x v="2"/>
    <n v="1472.76"/>
    <n v="981.84"/>
  </r>
  <r>
    <s v="ORD200069"/>
    <x v="67"/>
    <s v="C43338"/>
    <x v="0"/>
    <n v="3"/>
    <n v="478.65"/>
    <s v="552 Main St"/>
    <x v="1"/>
    <x v="0"/>
    <s v="TRK35241775"/>
    <n v="4"/>
    <x v="1"/>
    <s v="NO-DISCOUNT"/>
    <x v="1"/>
    <n v="1435.95"/>
    <n v="478.65"/>
  </r>
  <r>
    <s v="ORD200070"/>
    <x v="68"/>
    <s v="C25123"/>
    <x v="6"/>
    <n v="1"/>
    <n v="629.21"/>
    <s v="384 Main St"/>
    <x v="3"/>
    <x v="4"/>
    <s v="TRK27812282"/>
    <n v="2"/>
    <x v="1"/>
    <s v="FREESHIP"/>
    <x v="0"/>
    <n v="629.21"/>
    <n v="629.21"/>
  </r>
  <r>
    <s v="ORD200071"/>
    <x v="69"/>
    <s v="C37454"/>
    <x v="0"/>
    <n v="3"/>
    <n v="434.45"/>
    <s v="923 Main St"/>
    <x v="2"/>
    <x v="4"/>
    <s v="TRK28252730"/>
    <n v="4"/>
    <x v="1"/>
    <s v="NO-DISCOUNT"/>
    <x v="1"/>
    <n v="1303.3499999999999"/>
    <n v="434.45"/>
  </r>
  <r>
    <s v="ORD200072"/>
    <x v="70"/>
    <s v="C19451"/>
    <x v="2"/>
    <n v="4"/>
    <n v="589.44000000000005"/>
    <s v="942 Main St"/>
    <x v="3"/>
    <x v="2"/>
    <s v="TRK87787793"/>
    <n v="5"/>
    <x v="1"/>
    <s v="NO-DISCOUNT"/>
    <x v="3"/>
    <n v="2357.7600000000002"/>
    <n v="589.44000000000005"/>
  </r>
  <r>
    <s v="ORD200073"/>
    <x v="71"/>
    <s v="C17269"/>
    <x v="0"/>
    <n v="4"/>
    <n v="433.45"/>
    <s v="129 Main St"/>
    <x v="3"/>
    <x v="1"/>
    <s v="TRK79608389"/>
    <n v="4"/>
    <x v="5"/>
    <s v="NO-DISCOUNT"/>
    <x v="3"/>
    <n v="1733.8"/>
    <n v="0"/>
  </r>
  <r>
    <s v="ORD200074"/>
    <x v="72"/>
    <s v="C25382"/>
    <x v="1"/>
    <n v="5"/>
    <n v="90.87"/>
    <s v="622 Main St"/>
    <x v="4"/>
    <x v="4"/>
    <s v="TRK64691287"/>
    <n v="5"/>
    <x v="5"/>
    <s v="NO-DISCOUNT"/>
    <x v="0"/>
    <n v="454.35"/>
    <n v="0"/>
  </r>
  <r>
    <s v="ORD200075"/>
    <x v="73"/>
    <s v="C80651"/>
    <x v="2"/>
    <n v="3"/>
    <n v="398.17"/>
    <s v="917 Main St"/>
    <x v="0"/>
    <x v="3"/>
    <s v="TRK14846720"/>
    <n v="5"/>
    <x v="0"/>
    <s v="SAVE10"/>
    <x v="2"/>
    <n v="1194.51"/>
    <n v="796.34"/>
  </r>
  <r>
    <s v="ORD200076"/>
    <x v="74"/>
    <s v="C58638"/>
    <x v="5"/>
    <n v="4"/>
    <n v="382.88"/>
    <s v="239 Main St"/>
    <x v="4"/>
    <x v="1"/>
    <s v="TRK38224871"/>
    <n v="6"/>
    <x v="0"/>
    <s v="WINTER15"/>
    <x v="2"/>
    <n v="1531.52"/>
    <n v="765.76"/>
  </r>
  <r>
    <s v="ORD200077"/>
    <x v="75"/>
    <s v="C50121"/>
    <x v="1"/>
    <n v="1"/>
    <n v="583.17999999999995"/>
    <s v="348 Main St"/>
    <x v="2"/>
    <x v="2"/>
    <s v="TRK79810059"/>
    <n v="5"/>
    <x v="3"/>
    <s v="NO-DISCOUNT"/>
    <x v="4"/>
    <n v="583.17999999999995"/>
    <n v="2332.7199999999998"/>
  </r>
  <r>
    <s v="ORD200078"/>
    <x v="76"/>
    <s v="C32029"/>
    <x v="4"/>
    <n v="4"/>
    <n v="175.36"/>
    <s v="146 Main St"/>
    <x v="0"/>
    <x v="3"/>
    <s v="TRK68535532"/>
    <n v="4"/>
    <x v="5"/>
    <s v="FREESHIP"/>
    <x v="0"/>
    <n v="701.44"/>
    <n v="0"/>
  </r>
  <r>
    <s v="ORD200079"/>
    <x v="77"/>
    <s v="C76700"/>
    <x v="2"/>
    <n v="2"/>
    <n v="311.91000000000003"/>
    <s v="103 Main St"/>
    <x v="1"/>
    <x v="0"/>
    <s v="TRK13036341"/>
    <n v="2"/>
    <x v="5"/>
    <s v="NO-DISCOUNT"/>
    <x v="3"/>
    <n v="623.82000000000005"/>
    <n v="0"/>
  </r>
  <r>
    <s v="ORD200080"/>
    <x v="78"/>
    <s v="C29041"/>
    <x v="1"/>
    <n v="3"/>
    <n v="589.55999999999995"/>
    <s v="591 Main St"/>
    <x v="1"/>
    <x v="2"/>
    <s v="TRK28840655"/>
    <n v="6"/>
    <x v="2"/>
    <s v="NO-DISCOUNT"/>
    <x v="3"/>
    <n v="1768.68"/>
    <n v="1768.6799999999998"/>
  </r>
  <r>
    <s v="ORD200081"/>
    <x v="79"/>
    <s v="C29314"/>
    <x v="0"/>
    <n v="2"/>
    <n v="394.3"/>
    <s v="496 Main St"/>
    <x v="4"/>
    <x v="0"/>
    <s v="TRK59876213"/>
    <n v="6"/>
    <x v="3"/>
    <s v="FREESHIP"/>
    <x v="2"/>
    <n v="788.6"/>
    <n v="1577.2"/>
  </r>
  <r>
    <s v="ORD200082"/>
    <x v="80"/>
    <s v="C65799"/>
    <x v="2"/>
    <n v="4"/>
    <n v="565.20000000000005"/>
    <s v="971 Main St"/>
    <x v="0"/>
    <x v="0"/>
    <s v="TRK66906607"/>
    <n v="9"/>
    <x v="4"/>
    <s v="SAVE10"/>
    <x v="4"/>
    <n v="2260.8000000000002"/>
    <n v="2826"/>
  </r>
  <r>
    <s v="ORD200083"/>
    <x v="60"/>
    <s v="C15681"/>
    <x v="5"/>
    <n v="4"/>
    <n v="540.41"/>
    <s v="989 Main St"/>
    <x v="2"/>
    <x v="1"/>
    <s v="TRK75112172"/>
    <n v="6"/>
    <x v="0"/>
    <s v="NO-DISCOUNT"/>
    <x v="1"/>
    <n v="2161.64"/>
    <n v="1080.82"/>
  </r>
  <r>
    <s v="ORD200084"/>
    <x v="81"/>
    <s v="C64160"/>
    <x v="0"/>
    <n v="2"/>
    <n v="165.49"/>
    <s v="967 Main St"/>
    <x v="1"/>
    <x v="0"/>
    <s v="TRK34121529"/>
    <n v="4"/>
    <x v="0"/>
    <s v="WINTER15"/>
    <x v="0"/>
    <n v="330.98"/>
    <n v="330.98"/>
  </r>
  <r>
    <s v="ORD200085"/>
    <x v="82"/>
    <s v="C14553"/>
    <x v="2"/>
    <n v="3"/>
    <n v="146.72999999999999"/>
    <s v="768 Main St"/>
    <x v="4"/>
    <x v="3"/>
    <s v="TRK93538334"/>
    <n v="8"/>
    <x v="4"/>
    <s v="FREESHIP"/>
    <x v="2"/>
    <n v="440.18999999999988"/>
    <n v="733.65"/>
  </r>
  <r>
    <s v="ORD200086"/>
    <x v="83"/>
    <s v="C88205"/>
    <x v="4"/>
    <n v="5"/>
    <n v="643.03"/>
    <s v="447 Main St"/>
    <x v="1"/>
    <x v="1"/>
    <s v="TRK93504166"/>
    <n v="5"/>
    <x v="5"/>
    <s v="FREESHIP"/>
    <x v="1"/>
    <n v="3215.15"/>
    <n v="0"/>
  </r>
  <r>
    <s v="ORD200087"/>
    <x v="84"/>
    <s v="C91245"/>
    <x v="2"/>
    <n v="3"/>
    <n v="225.11"/>
    <s v="915 Main St"/>
    <x v="4"/>
    <x v="0"/>
    <s v="TRK46976391"/>
    <n v="4"/>
    <x v="1"/>
    <s v="SAVE10"/>
    <x v="3"/>
    <n v="675.33"/>
    <n v="225.11"/>
  </r>
  <r>
    <s v="ORD200088"/>
    <x v="85"/>
    <s v="C75439"/>
    <x v="6"/>
    <n v="3"/>
    <n v="114.81"/>
    <s v="318 Main St"/>
    <x v="3"/>
    <x v="1"/>
    <s v="TRK19831653"/>
    <n v="7"/>
    <x v="3"/>
    <s v="NO-DISCOUNT"/>
    <x v="4"/>
    <n v="344.43"/>
    <n v="459.24"/>
  </r>
  <r>
    <s v="ORD200089"/>
    <x v="86"/>
    <s v="C17181"/>
    <x v="4"/>
    <n v="5"/>
    <n v="455.33"/>
    <s v="291 Main St"/>
    <x v="2"/>
    <x v="1"/>
    <s v="TRK78912978"/>
    <n v="8"/>
    <x v="2"/>
    <s v="FREESHIP"/>
    <x v="4"/>
    <n v="2276.65"/>
    <n v="1365.99"/>
  </r>
  <r>
    <s v="ORD200090"/>
    <x v="87"/>
    <s v="C36540"/>
    <x v="3"/>
    <n v="4"/>
    <n v="182.08"/>
    <s v="611 Main St"/>
    <x v="3"/>
    <x v="3"/>
    <s v="TRK35828122"/>
    <n v="4"/>
    <x v="5"/>
    <s v="SAVE10"/>
    <x v="2"/>
    <n v="728.32"/>
    <n v="0"/>
  </r>
  <r>
    <s v="ORD200091"/>
    <x v="88"/>
    <s v="C98216"/>
    <x v="5"/>
    <n v="5"/>
    <n v="492.75"/>
    <s v="196 Main St"/>
    <x v="4"/>
    <x v="0"/>
    <s v="TRK40986666"/>
    <n v="6"/>
    <x v="1"/>
    <s v="WINTER15"/>
    <x v="1"/>
    <n v="2463.75"/>
    <n v="492.75"/>
  </r>
  <r>
    <s v="ORD200092"/>
    <x v="89"/>
    <s v="C29568"/>
    <x v="4"/>
    <n v="4"/>
    <n v="48.61"/>
    <s v="203 Main St"/>
    <x v="1"/>
    <x v="0"/>
    <s v="TRK46531075"/>
    <n v="7"/>
    <x v="2"/>
    <s v="FREESHIP"/>
    <x v="3"/>
    <n v="194.44"/>
    <n v="145.82999999999998"/>
  </r>
  <r>
    <s v="ORD200093"/>
    <x v="90"/>
    <s v="C97262"/>
    <x v="6"/>
    <n v="4"/>
    <n v="431.01"/>
    <s v="837 Main St"/>
    <x v="2"/>
    <x v="2"/>
    <s v="TRK65990229"/>
    <n v="7"/>
    <x v="2"/>
    <s v="NO-DISCOUNT"/>
    <x v="1"/>
    <n v="1724.04"/>
    <n v="1293.03"/>
  </r>
  <r>
    <s v="ORD200094"/>
    <x v="91"/>
    <s v="C79821"/>
    <x v="3"/>
    <n v="1"/>
    <n v="531.17999999999995"/>
    <s v="781 Main St"/>
    <x v="3"/>
    <x v="2"/>
    <s v="TRK12780193"/>
    <n v="6"/>
    <x v="4"/>
    <s v="WINTER15"/>
    <x v="0"/>
    <n v="531.17999999999995"/>
    <n v="2655.8999999999996"/>
  </r>
  <r>
    <s v="ORD200095"/>
    <x v="92"/>
    <s v="C76761"/>
    <x v="4"/>
    <n v="4"/>
    <n v="117.51"/>
    <s v="839 Main St"/>
    <x v="0"/>
    <x v="2"/>
    <s v="TRK60179774"/>
    <n v="7"/>
    <x v="2"/>
    <s v="NO-DISCOUNT"/>
    <x v="1"/>
    <n v="470.04"/>
    <n v="352.53000000000003"/>
  </r>
  <r>
    <s v="ORD200096"/>
    <x v="93"/>
    <s v="C93007"/>
    <x v="1"/>
    <n v="2"/>
    <n v="232.83"/>
    <s v="103 Main St"/>
    <x v="3"/>
    <x v="3"/>
    <s v="TRK85696091"/>
    <n v="7"/>
    <x v="4"/>
    <s v="NO-DISCOUNT"/>
    <x v="0"/>
    <n v="465.66"/>
    <n v="1164.1500000000001"/>
  </r>
  <r>
    <s v="ORD200097"/>
    <x v="94"/>
    <s v="C15624"/>
    <x v="2"/>
    <n v="5"/>
    <n v="619.52"/>
    <s v="922 Main St"/>
    <x v="0"/>
    <x v="4"/>
    <s v="TRK40621141"/>
    <n v="9"/>
    <x v="3"/>
    <s v="NO-DISCOUNT"/>
    <x v="2"/>
    <n v="3097.6"/>
    <n v="2478.08"/>
  </r>
  <r>
    <s v="ORD200098"/>
    <x v="90"/>
    <s v="C70921"/>
    <x v="4"/>
    <n v="2"/>
    <n v="228.54"/>
    <s v="533 Main St"/>
    <x v="0"/>
    <x v="4"/>
    <s v="TRK54983109"/>
    <n v="3"/>
    <x v="1"/>
    <s v="NO-DISCOUNT"/>
    <x v="2"/>
    <n v="457.08"/>
    <n v="228.54"/>
  </r>
  <r>
    <s v="ORD200099"/>
    <x v="95"/>
    <s v="C30477"/>
    <x v="4"/>
    <n v="1"/>
    <n v="201.58"/>
    <s v="717 Main St"/>
    <x v="0"/>
    <x v="1"/>
    <s v="TRK51829648"/>
    <n v="2"/>
    <x v="1"/>
    <s v="WINTER15"/>
    <x v="2"/>
    <n v="201.58"/>
    <n v="201.58"/>
  </r>
  <r>
    <s v="ORD200100"/>
    <x v="96"/>
    <s v="C74866"/>
    <x v="1"/>
    <n v="3"/>
    <n v="664.79"/>
    <s v="743 Main St"/>
    <x v="1"/>
    <x v="3"/>
    <s v="TRK53783265"/>
    <n v="6"/>
    <x v="2"/>
    <s v="NO-DISCOUNT"/>
    <x v="3"/>
    <n v="1994.37"/>
    <n v="1994.37"/>
  </r>
  <r>
    <s v="ORD200101"/>
    <x v="97"/>
    <s v="C15283"/>
    <x v="4"/>
    <n v="1"/>
    <n v="381.02"/>
    <s v="152 Main St"/>
    <x v="4"/>
    <x v="0"/>
    <s v="TRK19286291"/>
    <n v="6"/>
    <x v="4"/>
    <s v="NO-DISCOUNT"/>
    <x v="4"/>
    <n v="381.02"/>
    <n v="1905.1"/>
  </r>
  <r>
    <s v="ORD200102"/>
    <x v="98"/>
    <s v="C18037"/>
    <x v="5"/>
    <n v="2"/>
    <n v="70.34"/>
    <s v="944 Main St"/>
    <x v="3"/>
    <x v="1"/>
    <s v="TRK47362236"/>
    <n v="3"/>
    <x v="1"/>
    <s v="FREESHIP"/>
    <x v="2"/>
    <n v="140.68"/>
    <n v="70.34"/>
  </r>
  <r>
    <s v="ORD200103"/>
    <x v="99"/>
    <s v="C62656"/>
    <x v="1"/>
    <n v="4"/>
    <n v="218.43"/>
    <s v="514 Main St"/>
    <x v="2"/>
    <x v="1"/>
    <s v="TRK86296459"/>
    <n v="9"/>
    <x v="4"/>
    <s v="SAVE10"/>
    <x v="2"/>
    <n v="873.72"/>
    <n v="1092.1500000000001"/>
  </r>
  <r>
    <s v="ORD200104"/>
    <x v="100"/>
    <s v="C65744"/>
    <x v="1"/>
    <n v="1"/>
    <n v="582.04"/>
    <s v="647 Main St"/>
    <x v="3"/>
    <x v="3"/>
    <s v="TRK39906058"/>
    <n v="1"/>
    <x v="5"/>
    <s v="FREESHIP"/>
    <x v="2"/>
    <n v="582.04"/>
    <n v="0"/>
  </r>
  <r>
    <s v="ORD200105"/>
    <x v="101"/>
    <s v="C72290"/>
    <x v="4"/>
    <n v="3"/>
    <n v="185.4"/>
    <s v="810 Main St"/>
    <x v="3"/>
    <x v="1"/>
    <s v="TRK68792129"/>
    <n v="7"/>
    <x v="3"/>
    <s v="NO-DISCOUNT"/>
    <x v="3"/>
    <n v="556.20000000000005"/>
    <n v="741.6"/>
  </r>
  <r>
    <s v="ORD200106"/>
    <x v="102"/>
    <s v="C73514"/>
    <x v="6"/>
    <n v="3"/>
    <n v="465.05"/>
    <s v="126 Main St"/>
    <x v="2"/>
    <x v="1"/>
    <s v="TRK96777924"/>
    <n v="3"/>
    <x v="5"/>
    <s v="SAVE10"/>
    <x v="2"/>
    <n v="1395.15"/>
    <n v="0"/>
  </r>
  <r>
    <s v="ORD200107"/>
    <x v="14"/>
    <s v="C16775"/>
    <x v="4"/>
    <n v="5"/>
    <n v="670.75"/>
    <s v="848 Main St"/>
    <x v="3"/>
    <x v="0"/>
    <s v="TRK34392124"/>
    <n v="8"/>
    <x v="2"/>
    <s v="FREESHIP"/>
    <x v="0"/>
    <n v="3353.75"/>
    <n v="2012.25"/>
  </r>
  <r>
    <s v="ORD200108"/>
    <x v="103"/>
    <s v="C33099"/>
    <x v="5"/>
    <n v="5"/>
    <n v="48.38"/>
    <s v="522 Main St"/>
    <x v="3"/>
    <x v="3"/>
    <s v="TRK28522330"/>
    <n v="9"/>
    <x v="3"/>
    <s v="WINTER15"/>
    <x v="2"/>
    <n v="241.9"/>
    <n v="193.52"/>
  </r>
  <r>
    <s v="ORD200109"/>
    <x v="104"/>
    <s v="C51157"/>
    <x v="6"/>
    <n v="3"/>
    <n v="592.87"/>
    <s v="131 Main St"/>
    <x v="3"/>
    <x v="0"/>
    <s v="TRK18674578"/>
    <n v="3"/>
    <x v="5"/>
    <s v="FREESHIP"/>
    <x v="1"/>
    <n v="1778.61"/>
    <n v="0"/>
  </r>
  <r>
    <s v="ORD200110"/>
    <x v="105"/>
    <s v="C74562"/>
    <x v="2"/>
    <n v="1"/>
    <n v="220.77"/>
    <s v="388 Main St"/>
    <x v="3"/>
    <x v="4"/>
    <s v="TRK32062079"/>
    <n v="5"/>
    <x v="3"/>
    <s v="FREESHIP"/>
    <x v="0"/>
    <n v="220.77"/>
    <n v="883.08"/>
  </r>
  <r>
    <s v="ORD200111"/>
    <x v="106"/>
    <s v="C95271"/>
    <x v="6"/>
    <n v="3"/>
    <n v="309.22000000000003"/>
    <s v="620 Main St"/>
    <x v="1"/>
    <x v="1"/>
    <s v="TRK74904969"/>
    <n v="7"/>
    <x v="3"/>
    <s v="FREESHIP"/>
    <x v="4"/>
    <n v="927.66000000000008"/>
    <n v="1236.8800000000001"/>
  </r>
  <r>
    <s v="ORD200112"/>
    <x v="107"/>
    <s v="C81366"/>
    <x v="0"/>
    <n v="1"/>
    <n v="410.6"/>
    <s v="423 Main St"/>
    <x v="1"/>
    <x v="1"/>
    <s v="TRK17062206"/>
    <n v="2"/>
    <x v="1"/>
    <s v="WINTER15"/>
    <x v="1"/>
    <n v="410.6"/>
    <n v="410.6"/>
  </r>
  <r>
    <s v="ORD200113"/>
    <x v="108"/>
    <s v="C65905"/>
    <x v="5"/>
    <n v="5"/>
    <n v="190.08"/>
    <s v="605 Main St"/>
    <x v="4"/>
    <x v="0"/>
    <s v="TRK73954365"/>
    <n v="9"/>
    <x v="3"/>
    <s v="FREESHIP"/>
    <x v="0"/>
    <n v="950.40000000000009"/>
    <n v="760.32"/>
  </r>
  <r>
    <s v="ORD200114"/>
    <x v="109"/>
    <s v="C77272"/>
    <x v="0"/>
    <n v="5"/>
    <n v="498.48"/>
    <s v="115 Main St"/>
    <x v="1"/>
    <x v="4"/>
    <s v="TRK29708128"/>
    <n v="8"/>
    <x v="2"/>
    <s v="SAVE10"/>
    <x v="4"/>
    <n v="2492.4"/>
    <n v="1495.44"/>
  </r>
  <r>
    <s v="ORD200115"/>
    <x v="110"/>
    <s v="C32580"/>
    <x v="1"/>
    <n v="5"/>
    <n v="374.99"/>
    <s v="122 Main St"/>
    <x v="1"/>
    <x v="0"/>
    <s v="TRK23670394"/>
    <n v="9"/>
    <x v="3"/>
    <s v="SAVE10"/>
    <x v="3"/>
    <n v="1874.95"/>
    <n v="1499.96"/>
  </r>
  <r>
    <s v="ORD200116"/>
    <x v="111"/>
    <s v="C47761"/>
    <x v="4"/>
    <n v="4"/>
    <n v="291.35000000000002"/>
    <s v="109 Main St"/>
    <x v="2"/>
    <x v="1"/>
    <s v="TRK66669207"/>
    <n v="6"/>
    <x v="0"/>
    <s v="WINTER15"/>
    <x v="3"/>
    <n v="1165.4000000000001"/>
    <n v="582.70000000000005"/>
  </r>
  <r>
    <s v="ORD200117"/>
    <x v="98"/>
    <s v="C49187"/>
    <x v="2"/>
    <n v="1"/>
    <n v="535.5"/>
    <s v="593 Main St"/>
    <x v="3"/>
    <x v="1"/>
    <s v="TRK81888598"/>
    <n v="5"/>
    <x v="3"/>
    <s v="WINTER15"/>
    <x v="1"/>
    <n v="535.5"/>
    <n v="2142"/>
  </r>
  <r>
    <s v="ORD200118"/>
    <x v="112"/>
    <s v="C27898"/>
    <x v="4"/>
    <n v="5"/>
    <n v="502.71"/>
    <s v="807 Main St"/>
    <x v="3"/>
    <x v="0"/>
    <s v="TRK61957665"/>
    <n v="7"/>
    <x v="0"/>
    <s v="FREESHIP"/>
    <x v="4"/>
    <n v="2513.5500000000002"/>
    <n v="1005.42"/>
  </r>
  <r>
    <s v="ORD200119"/>
    <x v="113"/>
    <s v="C14683"/>
    <x v="6"/>
    <n v="2"/>
    <n v="534.66999999999996"/>
    <s v="187 Main St"/>
    <x v="0"/>
    <x v="0"/>
    <s v="TRK47373682"/>
    <n v="7"/>
    <x v="4"/>
    <s v="FREESHIP"/>
    <x v="1"/>
    <n v="1069.3399999999999"/>
    <n v="2673.35"/>
  </r>
  <r>
    <s v="ORD200120"/>
    <x v="114"/>
    <s v="C58108"/>
    <x v="2"/>
    <n v="4"/>
    <n v="629.34"/>
    <s v="986 Main St"/>
    <x v="4"/>
    <x v="1"/>
    <s v="TRK66218053"/>
    <n v="4"/>
    <x v="5"/>
    <s v="WINTER15"/>
    <x v="0"/>
    <n v="2517.36"/>
    <n v="0"/>
  </r>
  <r>
    <s v="ORD200121"/>
    <x v="115"/>
    <s v="C89822"/>
    <x v="6"/>
    <n v="1"/>
    <n v="410.78"/>
    <s v="673 Main St"/>
    <x v="4"/>
    <x v="1"/>
    <s v="TRK24138598"/>
    <n v="1"/>
    <x v="5"/>
    <s v="FREESHIP"/>
    <x v="0"/>
    <n v="410.78"/>
    <n v="0"/>
  </r>
  <r>
    <s v="ORD200122"/>
    <x v="116"/>
    <s v="C96787"/>
    <x v="5"/>
    <n v="2"/>
    <n v="533.02"/>
    <s v="588 Main St"/>
    <x v="3"/>
    <x v="0"/>
    <s v="TRK30422853"/>
    <n v="2"/>
    <x v="5"/>
    <s v="NO-DISCOUNT"/>
    <x v="3"/>
    <n v="1066.04"/>
    <n v="0"/>
  </r>
  <r>
    <s v="ORD200123"/>
    <x v="117"/>
    <s v="C86064"/>
    <x v="6"/>
    <n v="3"/>
    <n v="278.04000000000002"/>
    <s v="727 Main St"/>
    <x v="1"/>
    <x v="3"/>
    <s v="TRK62182901"/>
    <n v="5"/>
    <x v="0"/>
    <s v="NO-DISCOUNT"/>
    <x v="0"/>
    <n v="834.12000000000012"/>
    <n v="556.08000000000004"/>
  </r>
  <r>
    <s v="ORD200124"/>
    <x v="118"/>
    <s v="C97148"/>
    <x v="4"/>
    <n v="4"/>
    <n v="283.79000000000002"/>
    <s v="563 Main St"/>
    <x v="1"/>
    <x v="4"/>
    <s v="TRK85321126"/>
    <n v="8"/>
    <x v="3"/>
    <s v="NO-DISCOUNT"/>
    <x v="4"/>
    <n v="1135.1600000000001"/>
    <n v="1135.1600000000001"/>
  </r>
  <r>
    <s v="ORD200125"/>
    <x v="119"/>
    <s v="C91099"/>
    <x v="1"/>
    <n v="2"/>
    <n v="512.65"/>
    <s v="758 Main St"/>
    <x v="2"/>
    <x v="0"/>
    <s v="TRK81846174"/>
    <n v="5"/>
    <x v="2"/>
    <s v="SAVE10"/>
    <x v="2"/>
    <n v="1025.3"/>
    <n v="1537.9499999999998"/>
  </r>
  <r>
    <s v="ORD200126"/>
    <x v="120"/>
    <s v="C55606"/>
    <x v="6"/>
    <n v="4"/>
    <n v="275.5"/>
    <s v="353 Main St"/>
    <x v="3"/>
    <x v="0"/>
    <s v="TRK68250319"/>
    <n v="8"/>
    <x v="3"/>
    <s v="FREESHIP"/>
    <x v="4"/>
    <n v="1102"/>
    <n v="1102"/>
  </r>
  <r>
    <s v="ORD200127"/>
    <x v="121"/>
    <s v="C71486"/>
    <x v="6"/>
    <n v="3"/>
    <n v="469.32"/>
    <s v="365 Main St"/>
    <x v="0"/>
    <x v="0"/>
    <s v="TRK73929833"/>
    <n v="3"/>
    <x v="5"/>
    <s v="NO-DISCOUNT"/>
    <x v="4"/>
    <n v="1407.96"/>
    <n v="0"/>
  </r>
  <r>
    <s v="ORD200128"/>
    <x v="96"/>
    <s v="C86408"/>
    <x v="2"/>
    <n v="4"/>
    <n v="21.07"/>
    <s v="244 Main St"/>
    <x v="3"/>
    <x v="3"/>
    <s v="TRK41432648"/>
    <n v="4"/>
    <x v="5"/>
    <s v="FREESHIP"/>
    <x v="4"/>
    <n v="84.28"/>
    <n v="0"/>
  </r>
  <r>
    <s v="ORD200129"/>
    <x v="122"/>
    <s v="C52751"/>
    <x v="5"/>
    <n v="4"/>
    <n v="263.93"/>
    <s v="427 Main St"/>
    <x v="0"/>
    <x v="0"/>
    <s v="TRK72481234"/>
    <n v="4"/>
    <x v="5"/>
    <s v="FREESHIP"/>
    <x v="3"/>
    <n v="1055.72"/>
    <n v="0"/>
  </r>
  <r>
    <s v="ORD200130"/>
    <x v="123"/>
    <s v="C29059"/>
    <x v="6"/>
    <n v="3"/>
    <n v="501.3"/>
    <s v="513 Main St"/>
    <x v="1"/>
    <x v="1"/>
    <s v="TRK88360704"/>
    <n v="3"/>
    <x v="5"/>
    <s v="WINTER15"/>
    <x v="3"/>
    <n v="1503.9"/>
    <n v="0"/>
  </r>
  <r>
    <s v="ORD200131"/>
    <x v="124"/>
    <s v="C72862"/>
    <x v="2"/>
    <n v="1"/>
    <n v="84.8"/>
    <s v="606 Main St"/>
    <x v="3"/>
    <x v="4"/>
    <s v="TRK51648833"/>
    <n v="5"/>
    <x v="3"/>
    <s v="NO-DISCOUNT"/>
    <x v="0"/>
    <n v="84.8"/>
    <n v="339.2"/>
  </r>
  <r>
    <s v="ORD200132"/>
    <x v="125"/>
    <s v="C96257"/>
    <x v="2"/>
    <n v="4"/>
    <n v="450.75"/>
    <s v="583 Main St"/>
    <x v="2"/>
    <x v="0"/>
    <s v="TRK13137948"/>
    <n v="6"/>
    <x v="0"/>
    <s v="WINTER15"/>
    <x v="2"/>
    <n v="1803"/>
    <n v="901.5"/>
  </r>
  <r>
    <s v="ORD200133"/>
    <x v="126"/>
    <s v="C87432"/>
    <x v="3"/>
    <n v="4"/>
    <n v="302.05"/>
    <s v="636 Main St"/>
    <x v="0"/>
    <x v="1"/>
    <s v="TRK68969625"/>
    <n v="6"/>
    <x v="0"/>
    <s v="SAVE10"/>
    <x v="4"/>
    <n v="1208.2"/>
    <n v="604.1"/>
  </r>
  <r>
    <s v="ORD200134"/>
    <x v="127"/>
    <s v="C16253"/>
    <x v="5"/>
    <n v="2"/>
    <n v="199.7"/>
    <s v="583 Main St"/>
    <x v="4"/>
    <x v="4"/>
    <s v="TRK17354894"/>
    <n v="4"/>
    <x v="0"/>
    <s v="NO-DISCOUNT"/>
    <x v="2"/>
    <n v="399.4"/>
    <n v="399.4"/>
  </r>
  <r>
    <s v="ORD200135"/>
    <x v="128"/>
    <s v="C79909"/>
    <x v="4"/>
    <n v="2"/>
    <n v="68.81"/>
    <s v="642 Main St"/>
    <x v="3"/>
    <x v="0"/>
    <s v="TRK86742257"/>
    <n v="5"/>
    <x v="2"/>
    <s v="SAVE10"/>
    <x v="1"/>
    <n v="137.62"/>
    <n v="206.43"/>
  </r>
  <r>
    <s v="ORD200136"/>
    <x v="129"/>
    <s v="C73370"/>
    <x v="5"/>
    <n v="1"/>
    <n v="44.35"/>
    <s v="595 Main St"/>
    <x v="3"/>
    <x v="1"/>
    <s v="TRK67820278"/>
    <n v="1"/>
    <x v="5"/>
    <s v="SAVE10"/>
    <x v="0"/>
    <n v="44.35"/>
    <n v="0"/>
  </r>
  <r>
    <s v="ORD200137"/>
    <x v="130"/>
    <s v="C50682"/>
    <x v="0"/>
    <n v="2"/>
    <n v="250.98"/>
    <s v="598 Main St"/>
    <x v="2"/>
    <x v="3"/>
    <s v="TRK12242337"/>
    <n v="5"/>
    <x v="2"/>
    <s v="NO-DISCOUNT"/>
    <x v="4"/>
    <n v="501.96"/>
    <n v="752.93999999999994"/>
  </r>
  <r>
    <s v="ORD200138"/>
    <x v="131"/>
    <s v="C21905"/>
    <x v="2"/>
    <n v="1"/>
    <n v="298.06"/>
    <s v="478 Main St"/>
    <x v="0"/>
    <x v="4"/>
    <s v="TRK31863841"/>
    <n v="3"/>
    <x v="0"/>
    <s v="WINTER15"/>
    <x v="4"/>
    <n v="298.06"/>
    <n v="596.12"/>
  </r>
  <r>
    <s v="ORD200139"/>
    <x v="132"/>
    <s v="C61440"/>
    <x v="1"/>
    <n v="1"/>
    <n v="583.9"/>
    <s v="714 Main St"/>
    <x v="4"/>
    <x v="2"/>
    <s v="TRK33114521"/>
    <n v="1"/>
    <x v="5"/>
    <s v="NO-DISCOUNT"/>
    <x v="2"/>
    <n v="583.9"/>
    <n v="0"/>
  </r>
  <r>
    <s v="ORD200140"/>
    <x v="133"/>
    <s v="C33110"/>
    <x v="3"/>
    <n v="3"/>
    <n v="528.14"/>
    <s v="388 Main St"/>
    <x v="1"/>
    <x v="3"/>
    <s v="TRK38624225"/>
    <n v="3"/>
    <x v="5"/>
    <s v="FREESHIP"/>
    <x v="2"/>
    <n v="1584.42"/>
    <n v="0"/>
  </r>
  <r>
    <s v="ORD200141"/>
    <x v="134"/>
    <s v="C80004"/>
    <x v="4"/>
    <n v="3"/>
    <n v="684.14"/>
    <s v="151 Main St"/>
    <x v="4"/>
    <x v="1"/>
    <s v="TRK66230753"/>
    <n v="3"/>
    <x v="5"/>
    <s v="WINTER15"/>
    <x v="0"/>
    <n v="2052.42"/>
    <n v="0"/>
  </r>
  <r>
    <s v="ORD200142"/>
    <x v="135"/>
    <s v="C86374"/>
    <x v="6"/>
    <n v="5"/>
    <n v="272.77"/>
    <s v="573 Main St"/>
    <x v="4"/>
    <x v="4"/>
    <s v="TRK79451491"/>
    <n v="7"/>
    <x v="0"/>
    <s v="WINTER15"/>
    <x v="2"/>
    <n v="1363.85"/>
    <n v="545.54"/>
  </r>
  <r>
    <s v="ORD200143"/>
    <x v="136"/>
    <s v="C66521"/>
    <x v="3"/>
    <n v="4"/>
    <n v="400.07"/>
    <s v="933 Main St"/>
    <x v="1"/>
    <x v="0"/>
    <s v="TRK34654244"/>
    <n v="5"/>
    <x v="1"/>
    <s v="NO-DISCOUNT"/>
    <x v="1"/>
    <n v="1600.28"/>
    <n v="400.07"/>
  </r>
  <r>
    <s v="ORD200144"/>
    <x v="128"/>
    <s v="C63365"/>
    <x v="6"/>
    <n v="5"/>
    <n v="219.78"/>
    <s v="895 Main St"/>
    <x v="2"/>
    <x v="4"/>
    <s v="TRK80100887"/>
    <n v="8"/>
    <x v="2"/>
    <s v="NO-DISCOUNT"/>
    <x v="3"/>
    <n v="1098.9000000000001"/>
    <n v="659.34"/>
  </r>
  <r>
    <s v="ORD200145"/>
    <x v="17"/>
    <s v="C85929"/>
    <x v="4"/>
    <n v="3"/>
    <n v="146.91"/>
    <s v="798 Main St"/>
    <x v="2"/>
    <x v="3"/>
    <s v="TRK29318610"/>
    <n v="6"/>
    <x v="2"/>
    <s v="FREESHIP"/>
    <x v="4"/>
    <n v="440.73"/>
    <n v="440.73"/>
  </r>
  <r>
    <s v="ORD200146"/>
    <x v="137"/>
    <s v="C84645"/>
    <x v="2"/>
    <n v="2"/>
    <n v="411.49"/>
    <s v="404 Main St"/>
    <x v="2"/>
    <x v="2"/>
    <s v="TRK68893369"/>
    <n v="4"/>
    <x v="0"/>
    <s v="NO-DISCOUNT"/>
    <x v="0"/>
    <n v="822.98"/>
    <n v="822.98"/>
  </r>
  <r>
    <s v="ORD200147"/>
    <x v="138"/>
    <s v="C46316"/>
    <x v="5"/>
    <n v="2"/>
    <n v="465.18"/>
    <s v="893 Main St"/>
    <x v="2"/>
    <x v="1"/>
    <s v="TRK16196000"/>
    <n v="2"/>
    <x v="5"/>
    <s v="SAVE10"/>
    <x v="4"/>
    <n v="930.36"/>
    <n v="0"/>
  </r>
  <r>
    <s v="ORD200148"/>
    <x v="139"/>
    <s v="C35100"/>
    <x v="1"/>
    <n v="2"/>
    <n v="319.91000000000003"/>
    <s v="139 Main St"/>
    <x v="2"/>
    <x v="1"/>
    <s v="TRK56853491"/>
    <n v="3"/>
    <x v="1"/>
    <s v="WINTER15"/>
    <x v="4"/>
    <n v="639.82000000000005"/>
    <n v="319.91000000000003"/>
  </r>
  <r>
    <s v="ORD200149"/>
    <x v="140"/>
    <s v="C39671"/>
    <x v="5"/>
    <n v="1"/>
    <n v="217.56"/>
    <s v="174 Main St"/>
    <x v="0"/>
    <x v="3"/>
    <s v="TRK47153818"/>
    <n v="3"/>
    <x v="0"/>
    <s v="NO-DISCOUNT"/>
    <x v="3"/>
    <n v="217.56"/>
    <n v="435.12"/>
  </r>
  <r>
    <s v="ORD200150"/>
    <x v="141"/>
    <s v="C25503"/>
    <x v="1"/>
    <n v="2"/>
    <n v="105.57"/>
    <s v="981 Main St"/>
    <x v="0"/>
    <x v="2"/>
    <s v="TRK29878837"/>
    <n v="5"/>
    <x v="2"/>
    <s v="WINTER15"/>
    <x v="4"/>
    <n v="211.14"/>
    <n v="316.70999999999998"/>
  </r>
  <r>
    <s v="ORD200151"/>
    <x v="142"/>
    <s v="C32960"/>
    <x v="4"/>
    <n v="5"/>
    <n v="444.76"/>
    <s v="947 Main St"/>
    <x v="0"/>
    <x v="2"/>
    <s v="TRK91226500"/>
    <n v="7"/>
    <x v="0"/>
    <s v="NO-DISCOUNT"/>
    <x v="2"/>
    <n v="2223.8000000000002"/>
    <n v="889.52"/>
  </r>
  <r>
    <s v="ORD200152"/>
    <x v="143"/>
    <s v="C77736"/>
    <x v="3"/>
    <n v="2"/>
    <n v="399.04"/>
    <s v="659 Main St"/>
    <x v="4"/>
    <x v="1"/>
    <s v="TRK90329250"/>
    <n v="3"/>
    <x v="1"/>
    <s v="FREESHIP"/>
    <x v="1"/>
    <n v="798.08"/>
    <n v="399.04"/>
  </r>
  <r>
    <s v="ORD200153"/>
    <x v="144"/>
    <s v="C71570"/>
    <x v="3"/>
    <n v="4"/>
    <n v="534.48"/>
    <s v="437 Main St"/>
    <x v="1"/>
    <x v="2"/>
    <s v="TRK95992269"/>
    <n v="9"/>
    <x v="4"/>
    <s v="WINTER15"/>
    <x v="0"/>
    <n v="2137.92"/>
    <n v="2672.4"/>
  </r>
  <r>
    <s v="ORD200154"/>
    <x v="145"/>
    <s v="C73587"/>
    <x v="1"/>
    <n v="4"/>
    <n v="408.21"/>
    <s v="727 Main St"/>
    <x v="2"/>
    <x v="4"/>
    <s v="TRK13955543"/>
    <n v="9"/>
    <x v="4"/>
    <s v="NO-DISCOUNT"/>
    <x v="0"/>
    <n v="1632.84"/>
    <n v="2041.05"/>
  </r>
  <r>
    <s v="ORD200155"/>
    <x v="146"/>
    <s v="C62740"/>
    <x v="1"/>
    <n v="1"/>
    <n v="424.4"/>
    <s v="446 Main St"/>
    <x v="1"/>
    <x v="0"/>
    <s v="TRK20706408"/>
    <n v="6"/>
    <x v="4"/>
    <s v="WINTER15"/>
    <x v="1"/>
    <n v="424.4"/>
    <n v="2122"/>
  </r>
  <r>
    <s v="ORD200156"/>
    <x v="147"/>
    <s v="C58808"/>
    <x v="3"/>
    <n v="2"/>
    <n v="269.83"/>
    <s v="651 Main St"/>
    <x v="1"/>
    <x v="3"/>
    <s v="TRK24451893"/>
    <n v="4"/>
    <x v="0"/>
    <s v="SAVE10"/>
    <x v="2"/>
    <n v="539.66"/>
    <n v="539.66"/>
  </r>
  <r>
    <s v="ORD200157"/>
    <x v="148"/>
    <s v="C50422"/>
    <x v="0"/>
    <n v="2"/>
    <n v="564.58000000000004"/>
    <s v="636 Main St"/>
    <x v="1"/>
    <x v="2"/>
    <s v="TRK71227815"/>
    <n v="4"/>
    <x v="0"/>
    <s v="WINTER15"/>
    <x v="3"/>
    <n v="1129.1600000000001"/>
    <n v="1129.1600000000001"/>
  </r>
  <r>
    <s v="ORD200158"/>
    <x v="149"/>
    <s v="C23334"/>
    <x v="2"/>
    <n v="1"/>
    <n v="331.06"/>
    <s v="737 Main St"/>
    <x v="2"/>
    <x v="4"/>
    <s v="TRK46335144"/>
    <n v="5"/>
    <x v="3"/>
    <s v="WINTER15"/>
    <x v="0"/>
    <n v="331.06"/>
    <n v="1324.24"/>
  </r>
  <r>
    <s v="ORD200159"/>
    <x v="150"/>
    <s v="C48965"/>
    <x v="4"/>
    <n v="1"/>
    <n v="299.35000000000002"/>
    <s v="819 Main St"/>
    <x v="2"/>
    <x v="1"/>
    <s v="TRK50921780"/>
    <n v="5"/>
    <x v="3"/>
    <s v="WINTER15"/>
    <x v="2"/>
    <n v="299.35000000000002"/>
    <n v="1197.4000000000001"/>
  </r>
  <r>
    <s v="ORD200160"/>
    <x v="96"/>
    <s v="C38669"/>
    <x v="0"/>
    <n v="4"/>
    <n v="101.32"/>
    <s v="240 Main St"/>
    <x v="4"/>
    <x v="4"/>
    <s v="TRK81738254"/>
    <n v="7"/>
    <x v="2"/>
    <s v="NO-DISCOUNT"/>
    <x v="1"/>
    <n v="405.28"/>
    <n v="303.95999999999998"/>
  </r>
  <r>
    <s v="ORD200161"/>
    <x v="151"/>
    <s v="C35091"/>
    <x v="0"/>
    <n v="1"/>
    <n v="211.14"/>
    <s v="513 Main St"/>
    <x v="2"/>
    <x v="1"/>
    <s v="TRK53784452"/>
    <n v="1"/>
    <x v="5"/>
    <s v="SAVE10"/>
    <x v="3"/>
    <n v="211.14"/>
    <n v="0"/>
  </r>
  <r>
    <s v="ORD200162"/>
    <x v="152"/>
    <s v="C82313"/>
    <x v="3"/>
    <n v="3"/>
    <n v="65.86"/>
    <s v="917 Main St"/>
    <x v="1"/>
    <x v="4"/>
    <s v="TRK79854624"/>
    <n v="8"/>
    <x v="4"/>
    <s v="WINTER15"/>
    <x v="4"/>
    <n v="197.58"/>
    <n v="329.3"/>
  </r>
  <r>
    <s v="ORD200163"/>
    <x v="53"/>
    <s v="C99589"/>
    <x v="2"/>
    <n v="1"/>
    <n v="641.39"/>
    <s v="277 Main St"/>
    <x v="1"/>
    <x v="1"/>
    <s v="TRK16695001"/>
    <n v="1"/>
    <x v="5"/>
    <s v="NO-DISCOUNT"/>
    <x v="1"/>
    <n v="641.39"/>
    <n v="0"/>
  </r>
  <r>
    <s v="ORD200164"/>
    <x v="153"/>
    <s v="C70566"/>
    <x v="6"/>
    <n v="5"/>
    <n v="536.58000000000004"/>
    <s v="667 Main St"/>
    <x v="3"/>
    <x v="4"/>
    <s v="TRK49673411"/>
    <n v="5"/>
    <x v="5"/>
    <s v="SAVE10"/>
    <x v="4"/>
    <n v="2682.9"/>
    <n v="0"/>
  </r>
  <r>
    <s v="ORD200165"/>
    <x v="154"/>
    <s v="C60355"/>
    <x v="0"/>
    <n v="2"/>
    <n v="500.29"/>
    <s v="226 Main St"/>
    <x v="1"/>
    <x v="2"/>
    <s v="TRK30155194"/>
    <n v="7"/>
    <x v="4"/>
    <s v="WINTER15"/>
    <x v="4"/>
    <n v="1000.58"/>
    <n v="2501.4500000000003"/>
  </r>
  <r>
    <s v="ORD200166"/>
    <x v="155"/>
    <s v="C28889"/>
    <x v="3"/>
    <n v="3"/>
    <n v="86.29"/>
    <s v="565 Main St"/>
    <x v="4"/>
    <x v="3"/>
    <s v="TRK23791726"/>
    <n v="6"/>
    <x v="2"/>
    <s v="WINTER15"/>
    <x v="0"/>
    <n v="258.87"/>
    <n v="258.87"/>
  </r>
  <r>
    <s v="ORD200167"/>
    <x v="156"/>
    <s v="C88304"/>
    <x v="3"/>
    <n v="2"/>
    <n v="384.14"/>
    <s v="219 Main St"/>
    <x v="1"/>
    <x v="2"/>
    <s v="TRK44268941"/>
    <n v="2"/>
    <x v="5"/>
    <s v="WINTER15"/>
    <x v="2"/>
    <n v="768.28"/>
    <n v="0"/>
  </r>
  <r>
    <s v="ORD200168"/>
    <x v="157"/>
    <s v="C49517"/>
    <x v="4"/>
    <n v="1"/>
    <n v="594.96"/>
    <s v="878 Main St"/>
    <x v="4"/>
    <x v="2"/>
    <s v="TRK78551375"/>
    <n v="6"/>
    <x v="4"/>
    <s v="NO-DISCOUNT"/>
    <x v="3"/>
    <n v="594.96"/>
    <n v="2974.8"/>
  </r>
  <r>
    <s v="ORD200169"/>
    <x v="158"/>
    <s v="C35785"/>
    <x v="4"/>
    <n v="1"/>
    <n v="427.82"/>
    <s v="732 Main St"/>
    <x v="1"/>
    <x v="3"/>
    <s v="TRK78923089"/>
    <n v="2"/>
    <x v="1"/>
    <s v="WINTER15"/>
    <x v="2"/>
    <n v="427.82"/>
    <n v="427.82"/>
  </r>
  <r>
    <s v="ORD200170"/>
    <x v="159"/>
    <s v="C80223"/>
    <x v="6"/>
    <n v="4"/>
    <n v="662.94"/>
    <s v="535 Main St"/>
    <x v="4"/>
    <x v="1"/>
    <s v="TRK68632951"/>
    <n v="8"/>
    <x v="3"/>
    <s v="SAVE10"/>
    <x v="0"/>
    <n v="2651.76"/>
    <n v="2651.76"/>
  </r>
  <r>
    <s v="ORD200171"/>
    <x v="160"/>
    <s v="C20448"/>
    <x v="2"/>
    <n v="2"/>
    <n v="148.22"/>
    <s v="336 Main St"/>
    <x v="2"/>
    <x v="3"/>
    <s v="TRK67379895"/>
    <n v="7"/>
    <x v="4"/>
    <s v="WINTER15"/>
    <x v="0"/>
    <n v="296.44"/>
    <n v="741.1"/>
  </r>
  <r>
    <s v="ORD200172"/>
    <x v="161"/>
    <s v="C34134"/>
    <x v="4"/>
    <n v="1"/>
    <n v="254.12"/>
    <s v="365 Main St"/>
    <x v="1"/>
    <x v="3"/>
    <s v="TRK43074303"/>
    <n v="1"/>
    <x v="5"/>
    <s v="WINTER15"/>
    <x v="2"/>
    <n v="254.12"/>
    <n v="0"/>
  </r>
  <r>
    <s v="ORD200173"/>
    <x v="59"/>
    <s v="C95901"/>
    <x v="1"/>
    <n v="3"/>
    <n v="664.46"/>
    <s v="806 Main St"/>
    <x v="1"/>
    <x v="3"/>
    <s v="TRK56989066"/>
    <n v="4"/>
    <x v="1"/>
    <s v="FREESHIP"/>
    <x v="4"/>
    <n v="1993.38"/>
    <n v="664.46"/>
  </r>
  <r>
    <s v="ORD200174"/>
    <x v="162"/>
    <s v="C51145"/>
    <x v="4"/>
    <n v="4"/>
    <n v="600.80999999999995"/>
    <s v="790 Main St"/>
    <x v="0"/>
    <x v="3"/>
    <s v="TRK59154274"/>
    <n v="9"/>
    <x v="4"/>
    <s v="SAVE10"/>
    <x v="2"/>
    <n v="2403.2399999999998"/>
    <n v="3004.0499999999997"/>
  </r>
  <r>
    <s v="ORD200175"/>
    <x v="163"/>
    <s v="C78170"/>
    <x v="3"/>
    <n v="5"/>
    <n v="68.34"/>
    <s v="332 Main St"/>
    <x v="0"/>
    <x v="4"/>
    <s v="TRK71410605"/>
    <n v="6"/>
    <x v="1"/>
    <s v="WINTER15"/>
    <x v="1"/>
    <n v="341.7"/>
    <n v="68.34"/>
  </r>
  <r>
    <s v="ORD200176"/>
    <x v="164"/>
    <s v="C80151"/>
    <x v="2"/>
    <n v="4"/>
    <n v="430.83"/>
    <s v="553 Main St"/>
    <x v="3"/>
    <x v="4"/>
    <s v="TRK88251529"/>
    <n v="8"/>
    <x v="3"/>
    <s v="WINTER15"/>
    <x v="1"/>
    <n v="1723.32"/>
    <n v="1723.32"/>
  </r>
  <r>
    <s v="ORD200177"/>
    <x v="165"/>
    <s v="C55632"/>
    <x v="3"/>
    <n v="5"/>
    <n v="431.69"/>
    <s v="354 Main St"/>
    <x v="2"/>
    <x v="4"/>
    <s v="TRK13003066"/>
    <n v="10"/>
    <x v="4"/>
    <s v="NO-DISCOUNT"/>
    <x v="3"/>
    <n v="2158.4499999999998"/>
    <n v="2158.4499999999998"/>
  </r>
  <r>
    <s v="ORD200178"/>
    <x v="166"/>
    <s v="C53070"/>
    <x v="3"/>
    <n v="4"/>
    <n v="512.05999999999995"/>
    <s v="283 Main St"/>
    <x v="1"/>
    <x v="3"/>
    <s v="TRK49791755"/>
    <n v="5"/>
    <x v="1"/>
    <s v="SAVE10"/>
    <x v="4"/>
    <n v="2048.2399999999998"/>
    <n v="512.05999999999995"/>
  </r>
  <r>
    <s v="ORD200179"/>
    <x v="167"/>
    <s v="C27401"/>
    <x v="5"/>
    <n v="3"/>
    <n v="539.91"/>
    <s v="500 Main St"/>
    <x v="2"/>
    <x v="3"/>
    <s v="TRK14332053"/>
    <n v="8"/>
    <x v="4"/>
    <s v="NO-DISCOUNT"/>
    <x v="2"/>
    <n v="1619.73"/>
    <n v="2699.5499999999997"/>
  </r>
  <r>
    <s v="ORD200180"/>
    <x v="168"/>
    <s v="C87216"/>
    <x v="2"/>
    <n v="5"/>
    <n v="316.07"/>
    <s v="970 Main St"/>
    <x v="4"/>
    <x v="2"/>
    <s v="TRK18713727"/>
    <n v="10"/>
    <x v="4"/>
    <s v="NO-DISCOUNT"/>
    <x v="4"/>
    <n v="1580.35"/>
    <n v="1580.35"/>
  </r>
  <r>
    <s v="ORD200181"/>
    <x v="169"/>
    <s v="C38966"/>
    <x v="4"/>
    <n v="5"/>
    <n v="404.39"/>
    <s v="247 Main St"/>
    <x v="1"/>
    <x v="0"/>
    <s v="TRK17205146"/>
    <n v="10"/>
    <x v="4"/>
    <s v="NO-DISCOUNT"/>
    <x v="1"/>
    <n v="2021.95"/>
    <n v="2021.9499999999998"/>
  </r>
  <r>
    <s v="ORD200182"/>
    <x v="170"/>
    <s v="C16612"/>
    <x v="6"/>
    <n v="1"/>
    <n v="600.54"/>
    <s v="596 Main St"/>
    <x v="0"/>
    <x v="4"/>
    <s v="TRK96188223"/>
    <n v="4"/>
    <x v="2"/>
    <s v="WINTER15"/>
    <x v="4"/>
    <n v="600.54"/>
    <n v="1801.62"/>
  </r>
  <r>
    <s v="ORD200183"/>
    <x v="171"/>
    <s v="C39246"/>
    <x v="0"/>
    <n v="5"/>
    <n v="186.28"/>
    <s v="258 Main St"/>
    <x v="0"/>
    <x v="3"/>
    <s v="TRK16658182"/>
    <n v="8"/>
    <x v="2"/>
    <s v="SAVE10"/>
    <x v="2"/>
    <n v="931.4"/>
    <n v="558.84"/>
  </r>
  <r>
    <s v="ORD200184"/>
    <x v="172"/>
    <s v="C65180"/>
    <x v="2"/>
    <n v="4"/>
    <n v="214.54"/>
    <s v="231 Main St"/>
    <x v="3"/>
    <x v="1"/>
    <s v="TRK39255469"/>
    <n v="7"/>
    <x v="2"/>
    <s v="NO-DISCOUNT"/>
    <x v="1"/>
    <n v="858.16"/>
    <n v="643.62"/>
  </r>
  <r>
    <s v="ORD200185"/>
    <x v="61"/>
    <s v="C46877"/>
    <x v="5"/>
    <n v="1"/>
    <n v="210.7"/>
    <s v="572 Main St"/>
    <x v="1"/>
    <x v="0"/>
    <s v="TRK96935978"/>
    <n v="2"/>
    <x v="1"/>
    <s v="WINTER15"/>
    <x v="1"/>
    <n v="210.7"/>
    <n v="210.7"/>
  </r>
  <r>
    <s v="ORD200186"/>
    <x v="173"/>
    <s v="C30334"/>
    <x v="1"/>
    <n v="2"/>
    <n v="133.55000000000001"/>
    <s v="322 Main St"/>
    <x v="4"/>
    <x v="4"/>
    <s v="TRK66388885"/>
    <n v="7"/>
    <x v="4"/>
    <s v="FREESHIP"/>
    <x v="3"/>
    <n v="267.10000000000002"/>
    <n v="667.75"/>
  </r>
  <r>
    <s v="ORD200187"/>
    <x v="174"/>
    <s v="C21227"/>
    <x v="3"/>
    <n v="1"/>
    <n v="590.87"/>
    <s v="689 Main St"/>
    <x v="3"/>
    <x v="2"/>
    <s v="TRK79129657"/>
    <n v="6"/>
    <x v="4"/>
    <s v="FREESHIP"/>
    <x v="1"/>
    <n v="590.87"/>
    <n v="2954.35"/>
  </r>
  <r>
    <s v="ORD200188"/>
    <x v="175"/>
    <s v="C97715"/>
    <x v="3"/>
    <n v="2"/>
    <n v="363.91"/>
    <s v="927 Main St"/>
    <x v="3"/>
    <x v="0"/>
    <s v="TRK19515949"/>
    <n v="2"/>
    <x v="5"/>
    <s v="FREESHIP"/>
    <x v="1"/>
    <n v="727.82"/>
    <n v="0"/>
  </r>
  <r>
    <s v="ORD200189"/>
    <x v="176"/>
    <s v="C48939"/>
    <x v="4"/>
    <n v="5"/>
    <n v="429.45"/>
    <s v="597 Main St"/>
    <x v="3"/>
    <x v="1"/>
    <s v="TRK62786764"/>
    <n v="5"/>
    <x v="5"/>
    <s v="WINTER15"/>
    <x v="2"/>
    <n v="2147.25"/>
    <n v="0"/>
  </r>
  <r>
    <s v="ORD200190"/>
    <x v="169"/>
    <s v="C35483"/>
    <x v="4"/>
    <n v="3"/>
    <n v="223.7"/>
    <s v="725 Main St"/>
    <x v="4"/>
    <x v="2"/>
    <s v="TRK79638203"/>
    <n v="3"/>
    <x v="5"/>
    <s v="SAVE10"/>
    <x v="2"/>
    <n v="671.09999999999991"/>
    <n v="0"/>
  </r>
  <r>
    <s v="ORD200191"/>
    <x v="177"/>
    <s v="C51494"/>
    <x v="5"/>
    <n v="2"/>
    <n v="488.87"/>
    <s v="505 Main St"/>
    <x v="1"/>
    <x v="1"/>
    <s v="TRK58520306"/>
    <n v="4"/>
    <x v="0"/>
    <s v="FREESHIP"/>
    <x v="4"/>
    <n v="977.74"/>
    <n v="977.74"/>
  </r>
  <r>
    <s v="ORD200192"/>
    <x v="178"/>
    <s v="C58410"/>
    <x v="6"/>
    <n v="1"/>
    <n v="645.46"/>
    <s v="151 Main St"/>
    <x v="3"/>
    <x v="1"/>
    <s v="TRK19749672"/>
    <n v="5"/>
    <x v="3"/>
    <s v="SAVE10"/>
    <x v="4"/>
    <n v="645.46"/>
    <n v="2581.84"/>
  </r>
  <r>
    <s v="ORD200193"/>
    <x v="179"/>
    <s v="C11644"/>
    <x v="4"/>
    <n v="1"/>
    <n v="46.66"/>
    <s v="429 Main St"/>
    <x v="4"/>
    <x v="1"/>
    <s v="TRK81320339"/>
    <n v="6"/>
    <x v="4"/>
    <s v="NO-DISCOUNT"/>
    <x v="4"/>
    <n v="46.66"/>
    <n v="233.29999999999998"/>
  </r>
  <r>
    <s v="ORD200194"/>
    <x v="180"/>
    <s v="C53501"/>
    <x v="0"/>
    <n v="1"/>
    <n v="249.57"/>
    <s v="899 Main St"/>
    <x v="4"/>
    <x v="0"/>
    <s v="TRK90144892"/>
    <n v="3"/>
    <x v="0"/>
    <s v="FREESHIP"/>
    <x v="4"/>
    <n v="249.57"/>
    <n v="499.14"/>
  </r>
  <r>
    <s v="ORD200195"/>
    <x v="181"/>
    <s v="C63619"/>
    <x v="3"/>
    <n v="3"/>
    <n v="619.21"/>
    <s v="801 Main St"/>
    <x v="0"/>
    <x v="1"/>
    <s v="TRK65385674"/>
    <n v="6"/>
    <x v="2"/>
    <s v="NO-DISCOUNT"/>
    <x v="2"/>
    <n v="1857.63"/>
    <n v="1857.63"/>
  </r>
  <r>
    <s v="ORD200196"/>
    <x v="182"/>
    <s v="C40882"/>
    <x v="6"/>
    <n v="4"/>
    <n v="217.13"/>
    <s v="719 Main St"/>
    <x v="4"/>
    <x v="3"/>
    <s v="TRK64165503"/>
    <n v="8"/>
    <x v="3"/>
    <s v="WINTER15"/>
    <x v="2"/>
    <n v="868.52"/>
    <n v="868.52"/>
  </r>
  <r>
    <s v="ORD200197"/>
    <x v="183"/>
    <s v="C80135"/>
    <x v="5"/>
    <n v="5"/>
    <n v="221.51"/>
    <s v="723 Main St"/>
    <x v="4"/>
    <x v="2"/>
    <s v="TRK95222269"/>
    <n v="5"/>
    <x v="5"/>
    <s v="WINTER15"/>
    <x v="1"/>
    <n v="1107.55"/>
    <n v="0"/>
  </r>
  <r>
    <s v="ORD200198"/>
    <x v="184"/>
    <s v="C37594"/>
    <x v="5"/>
    <n v="4"/>
    <n v="340.3"/>
    <s v="926 Main St"/>
    <x v="4"/>
    <x v="1"/>
    <s v="TRK94405162"/>
    <n v="8"/>
    <x v="3"/>
    <s v="SAVE10"/>
    <x v="1"/>
    <n v="1361.2"/>
    <n v="1361.2"/>
  </r>
  <r>
    <s v="ORD200199"/>
    <x v="185"/>
    <s v="C87524"/>
    <x v="1"/>
    <n v="1"/>
    <n v="625"/>
    <s v="358 Main St"/>
    <x v="1"/>
    <x v="2"/>
    <s v="TRK21114341"/>
    <n v="5"/>
    <x v="3"/>
    <s v="WINTER15"/>
    <x v="4"/>
    <n v="625"/>
    <n v="2500"/>
  </r>
  <r>
    <s v="ORD200200"/>
    <x v="186"/>
    <s v="C97681"/>
    <x v="2"/>
    <n v="5"/>
    <n v="433.26"/>
    <s v="895 Main St"/>
    <x v="2"/>
    <x v="3"/>
    <s v="TRK37531040"/>
    <n v="9"/>
    <x v="3"/>
    <s v="SAVE10"/>
    <x v="4"/>
    <n v="2166.3000000000002"/>
    <n v="1733.04"/>
  </r>
  <r>
    <s v="ORD200201"/>
    <x v="187"/>
    <s v="C10126"/>
    <x v="0"/>
    <n v="2"/>
    <n v="674.9"/>
    <s v="146 Main St"/>
    <x v="1"/>
    <x v="0"/>
    <s v="TRK75607531"/>
    <n v="4"/>
    <x v="0"/>
    <s v="SAVE10"/>
    <x v="3"/>
    <n v="1349.8"/>
    <n v="1349.8"/>
  </r>
  <r>
    <s v="ORD200202"/>
    <x v="188"/>
    <s v="C36938"/>
    <x v="0"/>
    <n v="3"/>
    <n v="253.98"/>
    <s v="636 Main St"/>
    <x v="2"/>
    <x v="1"/>
    <s v="TRK52522904"/>
    <n v="3"/>
    <x v="5"/>
    <s v="FREESHIP"/>
    <x v="2"/>
    <n v="761.93999999999994"/>
    <n v="0"/>
  </r>
  <r>
    <s v="ORD200203"/>
    <x v="94"/>
    <s v="C99173"/>
    <x v="4"/>
    <n v="3"/>
    <n v="356.84"/>
    <s v="172 Main St"/>
    <x v="1"/>
    <x v="0"/>
    <s v="TRK89849342"/>
    <n v="5"/>
    <x v="0"/>
    <s v="SAVE10"/>
    <x v="0"/>
    <n v="1070.52"/>
    <n v="713.68"/>
  </r>
  <r>
    <s v="ORD200204"/>
    <x v="189"/>
    <s v="C99775"/>
    <x v="5"/>
    <n v="4"/>
    <n v="413.71"/>
    <s v="478 Main St"/>
    <x v="3"/>
    <x v="1"/>
    <s v="TRK21638425"/>
    <n v="9"/>
    <x v="4"/>
    <s v="FREESHIP"/>
    <x v="3"/>
    <n v="1654.84"/>
    <n v="2068.5499999999997"/>
  </r>
  <r>
    <s v="ORD200205"/>
    <x v="190"/>
    <s v="C19266"/>
    <x v="6"/>
    <n v="3"/>
    <n v="147.38999999999999"/>
    <s v="609 Main St"/>
    <x v="0"/>
    <x v="2"/>
    <s v="TRK58357269"/>
    <n v="3"/>
    <x v="5"/>
    <s v="NO-DISCOUNT"/>
    <x v="2"/>
    <n v="442.17"/>
    <n v="0"/>
  </r>
  <r>
    <s v="ORD200206"/>
    <x v="162"/>
    <s v="C31072"/>
    <x v="5"/>
    <n v="4"/>
    <n v="229.1"/>
    <s v="729 Main St"/>
    <x v="3"/>
    <x v="2"/>
    <s v="TRK77172975"/>
    <n v="8"/>
    <x v="3"/>
    <s v="WINTER15"/>
    <x v="2"/>
    <n v="916.4"/>
    <n v="916.4"/>
  </r>
  <r>
    <s v="ORD200207"/>
    <x v="191"/>
    <s v="C54595"/>
    <x v="1"/>
    <n v="1"/>
    <n v="121.96"/>
    <s v="999 Main St"/>
    <x v="0"/>
    <x v="3"/>
    <s v="TRK44416659"/>
    <n v="3"/>
    <x v="0"/>
    <s v="NO-DISCOUNT"/>
    <x v="4"/>
    <n v="121.96"/>
    <n v="243.92"/>
  </r>
  <r>
    <s v="ORD200208"/>
    <x v="192"/>
    <s v="C87777"/>
    <x v="6"/>
    <n v="2"/>
    <n v="408.32"/>
    <s v="597 Main St"/>
    <x v="1"/>
    <x v="0"/>
    <s v="TRK29003608"/>
    <n v="3"/>
    <x v="1"/>
    <s v="FREESHIP"/>
    <x v="3"/>
    <n v="816.64"/>
    <n v="408.32"/>
  </r>
  <r>
    <s v="ORD200209"/>
    <x v="193"/>
    <s v="C35854"/>
    <x v="2"/>
    <n v="5"/>
    <n v="187.97"/>
    <s v="706 Main St"/>
    <x v="4"/>
    <x v="2"/>
    <s v="TRK30615168"/>
    <n v="9"/>
    <x v="3"/>
    <s v="SAVE10"/>
    <x v="4"/>
    <n v="939.85"/>
    <n v="751.88"/>
  </r>
  <r>
    <s v="ORD200210"/>
    <x v="194"/>
    <s v="C93821"/>
    <x v="3"/>
    <n v="3"/>
    <n v="358.48"/>
    <s v="513 Main St"/>
    <x v="3"/>
    <x v="3"/>
    <s v="TRK10658539"/>
    <n v="7"/>
    <x v="3"/>
    <s v="FREESHIP"/>
    <x v="3"/>
    <n v="1075.44"/>
    <n v="1433.92"/>
  </r>
  <r>
    <s v="ORD200211"/>
    <x v="195"/>
    <s v="C54390"/>
    <x v="4"/>
    <n v="3"/>
    <n v="193.58"/>
    <s v="185 Main St"/>
    <x v="3"/>
    <x v="4"/>
    <s v="TRK83853742"/>
    <n v="7"/>
    <x v="3"/>
    <s v="FREESHIP"/>
    <x v="2"/>
    <n v="580.74"/>
    <n v="774.32"/>
  </r>
  <r>
    <s v="ORD200212"/>
    <x v="196"/>
    <s v="C53215"/>
    <x v="0"/>
    <n v="1"/>
    <n v="265.38"/>
    <s v="367 Main St"/>
    <x v="2"/>
    <x v="1"/>
    <s v="TRK34751835"/>
    <n v="6"/>
    <x v="4"/>
    <s v="WINTER15"/>
    <x v="2"/>
    <n v="265.38"/>
    <n v="1326.9"/>
  </r>
  <r>
    <s v="ORD200213"/>
    <x v="197"/>
    <s v="C71122"/>
    <x v="5"/>
    <n v="1"/>
    <n v="634.4"/>
    <s v="317 Main St"/>
    <x v="4"/>
    <x v="1"/>
    <s v="TRK54757882"/>
    <n v="6"/>
    <x v="4"/>
    <s v="SAVE10"/>
    <x v="2"/>
    <n v="634.4"/>
    <n v="3172"/>
  </r>
  <r>
    <s v="ORD200214"/>
    <x v="58"/>
    <s v="C29483"/>
    <x v="6"/>
    <n v="4"/>
    <n v="305.72000000000003"/>
    <s v="673 Main St"/>
    <x v="1"/>
    <x v="3"/>
    <s v="TRK89423603"/>
    <n v="5"/>
    <x v="1"/>
    <s v="NO-DISCOUNT"/>
    <x v="3"/>
    <n v="1222.8800000000001"/>
    <n v="305.72000000000003"/>
  </r>
  <r>
    <s v="ORD200215"/>
    <x v="121"/>
    <s v="C26767"/>
    <x v="4"/>
    <n v="1"/>
    <n v="303.60000000000002"/>
    <s v="432 Main St"/>
    <x v="4"/>
    <x v="0"/>
    <s v="TRK24585307"/>
    <n v="5"/>
    <x v="3"/>
    <s v="FREESHIP"/>
    <x v="3"/>
    <n v="303.60000000000002"/>
    <n v="1214.4000000000001"/>
  </r>
  <r>
    <s v="ORD200216"/>
    <x v="198"/>
    <s v="C70492"/>
    <x v="0"/>
    <n v="4"/>
    <n v="496"/>
    <s v="811 Main St"/>
    <x v="1"/>
    <x v="1"/>
    <s v="TRK84625405"/>
    <n v="8"/>
    <x v="3"/>
    <s v="WINTER15"/>
    <x v="4"/>
    <n v="1984"/>
    <n v="1984"/>
  </r>
  <r>
    <s v="ORD200217"/>
    <x v="199"/>
    <s v="C61549"/>
    <x v="6"/>
    <n v="4"/>
    <n v="321.51"/>
    <s v="908 Main St"/>
    <x v="4"/>
    <x v="2"/>
    <s v="TRK65596914"/>
    <n v="9"/>
    <x v="4"/>
    <s v="NO-DISCOUNT"/>
    <x v="4"/>
    <n v="1286.04"/>
    <n v="1607.55"/>
  </r>
  <r>
    <s v="ORD200218"/>
    <x v="200"/>
    <s v="C11665"/>
    <x v="2"/>
    <n v="3"/>
    <n v="112.46"/>
    <s v="882 Main St"/>
    <x v="3"/>
    <x v="0"/>
    <s v="TRK10993930"/>
    <n v="6"/>
    <x v="2"/>
    <s v="SAVE10"/>
    <x v="0"/>
    <n v="337.38"/>
    <n v="337.38"/>
  </r>
  <r>
    <s v="ORD200219"/>
    <x v="201"/>
    <s v="C48946"/>
    <x v="5"/>
    <n v="5"/>
    <n v="61.97"/>
    <s v="457 Main St"/>
    <x v="4"/>
    <x v="3"/>
    <s v="TRK99387220"/>
    <n v="6"/>
    <x v="1"/>
    <s v="SAVE10"/>
    <x v="2"/>
    <n v="309.85000000000002"/>
    <n v="61.97"/>
  </r>
  <r>
    <s v="ORD200220"/>
    <x v="202"/>
    <s v="C79506"/>
    <x v="5"/>
    <n v="2"/>
    <n v="373.17"/>
    <s v="497 Main St"/>
    <x v="2"/>
    <x v="4"/>
    <s v="TRK95188748"/>
    <n v="6"/>
    <x v="3"/>
    <s v="SAVE10"/>
    <x v="1"/>
    <n v="746.34"/>
    <n v="1492.68"/>
  </r>
  <r>
    <s v="ORD200221"/>
    <x v="203"/>
    <s v="C93473"/>
    <x v="2"/>
    <n v="5"/>
    <n v="639.37"/>
    <s v="552 Main St"/>
    <x v="0"/>
    <x v="4"/>
    <s v="TRK50003989"/>
    <n v="6"/>
    <x v="1"/>
    <s v="SAVE10"/>
    <x v="4"/>
    <n v="3196.85"/>
    <n v="639.37"/>
  </r>
  <r>
    <s v="ORD200222"/>
    <x v="204"/>
    <s v="C43124"/>
    <x v="3"/>
    <n v="4"/>
    <n v="693.36"/>
    <s v="931 Main St"/>
    <x v="1"/>
    <x v="0"/>
    <s v="TRK17293348"/>
    <n v="8"/>
    <x v="3"/>
    <s v="NO-DISCOUNT"/>
    <x v="0"/>
    <n v="2773.44"/>
    <n v="2773.44"/>
  </r>
  <r>
    <s v="ORD200223"/>
    <x v="57"/>
    <s v="C22783"/>
    <x v="1"/>
    <n v="4"/>
    <n v="692.91"/>
    <s v="673 Main St"/>
    <x v="2"/>
    <x v="4"/>
    <s v="TRK55009149"/>
    <n v="9"/>
    <x v="4"/>
    <s v="SAVE10"/>
    <x v="0"/>
    <n v="2771.64"/>
    <n v="3464.5499999999997"/>
  </r>
  <r>
    <s v="ORD200224"/>
    <x v="205"/>
    <s v="C18567"/>
    <x v="4"/>
    <n v="4"/>
    <n v="91.46"/>
    <s v="507 Main St"/>
    <x v="4"/>
    <x v="1"/>
    <s v="TRK17554673"/>
    <n v="9"/>
    <x v="4"/>
    <s v="SAVE10"/>
    <x v="1"/>
    <n v="365.84"/>
    <n v="457.29999999999995"/>
  </r>
  <r>
    <s v="ORD200225"/>
    <x v="206"/>
    <s v="C99879"/>
    <x v="1"/>
    <n v="3"/>
    <n v="273.95999999999998"/>
    <s v="692 Main St"/>
    <x v="0"/>
    <x v="2"/>
    <s v="TRK50246700"/>
    <n v="8"/>
    <x v="4"/>
    <s v="SAVE10"/>
    <x v="4"/>
    <n v="821.87999999999988"/>
    <n v="1369.8"/>
  </r>
  <r>
    <s v="ORD200226"/>
    <x v="207"/>
    <s v="C31501"/>
    <x v="6"/>
    <n v="3"/>
    <n v="588.04999999999995"/>
    <s v="242 Main St"/>
    <x v="3"/>
    <x v="3"/>
    <s v="TRK93063929"/>
    <n v="8"/>
    <x v="4"/>
    <s v="NO-DISCOUNT"/>
    <x v="0"/>
    <n v="1764.15"/>
    <n v="2940.25"/>
  </r>
  <r>
    <s v="ORD200227"/>
    <x v="208"/>
    <s v="C93220"/>
    <x v="0"/>
    <n v="2"/>
    <n v="365.17"/>
    <s v="353 Main St"/>
    <x v="1"/>
    <x v="1"/>
    <s v="TRK89023251"/>
    <n v="4"/>
    <x v="0"/>
    <s v="FREESHIP"/>
    <x v="3"/>
    <n v="730.34"/>
    <n v="730.34"/>
  </r>
  <r>
    <s v="ORD200228"/>
    <x v="209"/>
    <s v="C57867"/>
    <x v="3"/>
    <n v="4"/>
    <n v="385.92"/>
    <s v="579 Main St"/>
    <x v="2"/>
    <x v="1"/>
    <s v="TRK92055007"/>
    <n v="8"/>
    <x v="3"/>
    <s v="NO-DISCOUNT"/>
    <x v="0"/>
    <n v="1543.68"/>
    <n v="1543.68"/>
  </r>
  <r>
    <s v="ORD200229"/>
    <x v="210"/>
    <s v="C62622"/>
    <x v="2"/>
    <n v="1"/>
    <n v="562.61"/>
    <s v="762 Main St"/>
    <x v="2"/>
    <x v="3"/>
    <s v="TRK70997648"/>
    <n v="3"/>
    <x v="0"/>
    <s v="WINTER15"/>
    <x v="3"/>
    <n v="562.61"/>
    <n v="1125.22"/>
  </r>
  <r>
    <s v="ORD200230"/>
    <x v="211"/>
    <s v="C94595"/>
    <x v="6"/>
    <n v="4"/>
    <n v="61.91"/>
    <s v="948 Main St"/>
    <x v="3"/>
    <x v="3"/>
    <s v="TRK24497305"/>
    <n v="6"/>
    <x v="0"/>
    <s v="WINTER15"/>
    <x v="2"/>
    <n v="247.64"/>
    <n v="123.82"/>
  </r>
  <r>
    <s v="ORD200231"/>
    <x v="212"/>
    <s v="C30955"/>
    <x v="1"/>
    <n v="4"/>
    <n v="41.9"/>
    <s v="327 Main St"/>
    <x v="3"/>
    <x v="4"/>
    <s v="TRK46898848"/>
    <n v="9"/>
    <x v="4"/>
    <s v="FREESHIP"/>
    <x v="0"/>
    <n v="167.6"/>
    <n v="209.5"/>
  </r>
  <r>
    <s v="ORD200232"/>
    <x v="213"/>
    <s v="C20731"/>
    <x v="4"/>
    <n v="4"/>
    <n v="444.44"/>
    <s v="610 Main St"/>
    <x v="0"/>
    <x v="1"/>
    <s v="TRK75568437"/>
    <n v="8"/>
    <x v="3"/>
    <s v="WINTER15"/>
    <x v="4"/>
    <n v="1777.76"/>
    <n v="1777.76"/>
  </r>
  <r>
    <s v="ORD200233"/>
    <x v="214"/>
    <s v="C30168"/>
    <x v="1"/>
    <n v="3"/>
    <n v="311.33"/>
    <s v="146 Main St"/>
    <x v="4"/>
    <x v="1"/>
    <s v="TRK73699939"/>
    <n v="3"/>
    <x v="5"/>
    <s v="WINTER15"/>
    <x v="0"/>
    <n v="933.99"/>
    <n v="0"/>
  </r>
  <r>
    <s v="ORD200234"/>
    <x v="130"/>
    <s v="C79842"/>
    <x v="4"/>
    <n v="4"/>
    <n v="236.41"/>
    <s v="337 Main St"/>
    <x v="0"/>
    <x v="4"/>
    <s v="TRK26957950"/>
    <n v="7"/>
    <x v="2"/>
    <s v="SAVE10"/>
    <x v="4"/>
    <n v="945.64"/>
    <n v="709.23"/>
  </r>
  <r>
    <s v="ORD200235"/>
    <x v="215"/>
    <s v="C32854"/>
    <x v="6"/>
    <n v="1"/>
    <n v="65.45"/>
    <s v="815 Main St"/>
    <x v="4"/>
    <x v="4"/>
    <s v="TRK30009218"/>
    <n v="2"/>
    <x v="1"/>
    <s v="WINTER15"/>
    <x v="4"/>
    <n v="65.45"/>
    <n v="65.45"/>
  </r>
  <r>
    <s v="ORD200236"/>
    <x v="107"/>
    <s v="C14847"/>
    <x v="0"/>
    <n v="1"/>
    <n v="318.81"/>
    <s v="562 Main St"/>
    <x v="0"/>
    <x v="4"/>
    <s v="TRK39663243"/>
    <n v="3"/>
    <x v="0"/>
    <s v="WINTER15"/>
    <x v="2"/>
    <n v="318.81"/>
    <n v="637.62"/>
  </r>
  <r>
    <s v="ORD200237"/>
    <x v="216"/>
    <s v="C88645"/>
    <x v="0"/>
    <n v="3"/>
    <n v="583.72"/>
    <s v="783 Main St"/>
    <x v="2"/>
    <x v="0"/>
    <s v="TRK74097570"/>
    <n v="5"/>
    <x v="0"/>
    <s v="FREESHIP"/>
    <x v="3"/>
    <n v="1751.16"/>
    <n v="1167.44"/>
  </r>
  <r>
    <s v="ORD200238"/>
    <x v="217"/>
    <s v="C66149"/>
    <x v="6"/>
    <n v="4"/>
    <n v="384.32"/>
    <s v="770 Main St"/>
    <x v="2"/>
    <x v="4"/>
    <s v="TRK76307307"/>
    <n v="6"/>
    <x v="0"/>
    <s v="WINTER15"/>
    <x v="4"/>
    <n v="1537.28"/>
    <n v="768.64"/>
  </r>
  <r>
    <s v="ORD200239"/>
    <x v="218"/>
    <s v="C20256"/>
    <x v="2"/>
    <n v="3"/>
    <n v="538.74"/>
    <s v="456 Main St"/>
    <x v="1"/>
    <x v="0"/>
    <s v="TRK71127943"/>
    <n v="6"/>
    <x v="2"/>
    <s v="FREESHIP"/>
    <x v="2"/>
    <n v="1616.22"/>
    <n v="1616.22"/>
  </r>
  <r>
    <s v="ORD200240"/>
    <x v="219"/>
    <s v="C14983"/>
    <x v="2"/>
    <n v="1"/>
    <n v="17.239999999999998"/>
    <s v="255 Main St"/>
    <x v="1"/>
    <x v="4"/>
    <s v="TRK93444157"/>
    <n v="2"/>
    <x v="1"/>
    <s v="FREESHIP"/>
    <x v="0"/>
    <n v="17.239999999999998"/>
    <n v="17.239999999999998"/>
  </r>
  <r>
    <s v="ORD200241"/>
    <x v="220"/>
    <s v="C20817"/>
    <x v="3"/>
    <n v="5"/>
    <n v="615.66999999999996"/>
    <s v="407 Main St"/>
    <x v="1"/>
    <x v="4"/>
    <s v="TRK44164590"/>
    <n v="6"/>
    <x v="1"/>
    <s v="SAVE10"/>
    <x v="2"/>
    <n v="3078.35"/>
    <n v="615.66999999999996"/>
  </r>
  <r>
    <s v="ORD200242"/>
    <x v="221"/>
    <s v="C94921"/>
    <x v="4"/>
    <n v="2"/>
    <n v="219.1"/>
    <s v="134 Main St"/>
    <x v="1"/>
    <x v="4"/>
    <s v="TRK97794327"/>
    <n v="4"/>
    <x v="0"/>
    <s v="SAVE10"/>
    <x v="1"/>
    <n v="438.2"/>
    <n v="438.2"/>
  </r>
  <r>
    <s v="ORD200243"/>
    <x v="222"/>
    <s v="C54725"/>
    <x v="3"/>
    <n v="2"/>
    <n v="144.66"/>
    <s v="506 Main St"/>
    <x v="1"/>
    <x v="1"/>
    <s v="TRK30601940"/>
    <n v="7"/>
    <x v="4"/>
    <s v="FREESHIP"/>
    <x v="4"/>
    <n v="289.32"/>
    <n v="723.3"/>
  </r>
  <r>
    <s v="ORD200244"/>
    <x v="223"/>
    <s v="C98096"/>
    <x v="6"/>
    <n v="2"/>
    <n v="317.77"/>
    <s v="838 Main St"/>
    <x v="0"/>
    <x v="1"/>
    <s v="TRK51518631"/>
    <n v="4"/>
    <x v="0"/>
    <s v="WINTER15"/>
    <x v="3"/>
    <n v="635.54"/>
    <n v="635.54"/>
  </r>
  <r>
    <s v="ORD200245"/>
    <x v="224"/>
    <s v="C12667"/>
    <x v="5"/>
    <n v="1"/>
    <n v="223.3"/>
    <s v="306 Main St"/>
    <x v="1"/>
    <x v="2"/>
    <s v="TRK25390491"/>
    <n v="1"/>
    <x v="5"/>
    <s v="NO-DISCOUNT"/>
    <x v="3"/>
    <n v="223.3"/>
    <n v="0"/>
  </r>
  <r>
    <s v="ORD200246"/>
    <x v="225"/>
    <s v="C55354"/>
    <x v="6"/>
    <n v="2"/>
    <n v="342.11"/>
    <s v="164 Main St"/>
    <x v="3"/>
    <x v="0"/>
    <s v="TRK15439493"/>
    <n v="2"/>
    <x v="5"/>
    <s v="WINTER15"/>
    <x v="0"/>
    <n v="684.22"/>
    <n v="0"/>
  </r>
  <r>
    <s v="ORD200247"/>
    <x v="145"/>
    <s v="C14600"/>
    <x v="4"/>
    <n v="2"/>
    <n v="220.9"/>
    <s v="785 Main St"/>
    <x v="3"/>
    <x v="0"/>
    <s v="TRK84984764"/>
    <n v="4"/>
    <x v="0"/>
    <s v="NO-DISCOUNT"/>
    <x v="2"/>
    <n v="441.8"/>
    <n v="441.8"/>
  </r>
  <r>
    <s v="ORD200248"/>
    <x v="226"/>
    <s v="C97187"/>
    <x v="5"/>
    <n v="1"/>
    <n v="670.54"/>
    <s v="471 Main St"/>
    <x v="4"/>
    <x v="0"/>
    <s v="TRK62283713"/>
    <n v="6"/>
    <x v="4"/>
    <s v="FREESHIP"/>
    <x v="1"/>
    <n v="670.54"/>
    <n v="3352.7"/>
  </r>
  <r>
    <s v="ORD200249"/>
    <x v="227"/>
    <s v="C39106"/>
    <x v="4"/>
    <n v="1"/>
    <n v="546.19000000000005"/>
    <s v="245 Main St"/>
    <x v="4"/>
    <x v="4"/>
    <s v="TRK35464433"/>
    <n v="5"/>
    <x v="3"/>
    <s v="FREESHIP"/>
    <x v="1"/>
    <n v="546.19000000000005"/>
    <n v="2184.7600000000002"/>
  </r>
  <r>
    <s v="ORD200250"/>
    <x v="228"/>
    <s v="C93379"/>
    <x v="6"/>
    <n v="3"/>
    <n v="42.95"/>
    <s v="318 Main St"/>
    <x v="3"/>
    <x v="2"/>
    <s v="TRK67954150"/>
    <n v="8"/>
    <x v="4"/>
    <s v="SAVE10"/>
    <x v="2"/>
    <n v="128.85"/>
    <n v="214.75"/>
  </r>
  <r>
    <s v="ORD200251"/>
    <x v="229"/>
    <s v="C93175"/>
    <x v="0"/>
    <n v="4"/>
    <n v="14.69"/>
    <s v="814 Main St"/>
    <x v="4"/>
    <x v="1"/>
    <s v="TRK32995144"/>
    <n v="9"/>
    <x v="4"/>
    <s v="NO-DISCOUNT"/>
    <x v="2"/>
    <n v="58.76"/>
    <n v="73.45"/>
  </r>
  <r>
    <s v="ORD200252"/>
    <x v="28"/>
    <s v="C19648"/>
    <x v="1"/>
    <n v="4"/>
    <n v="668.36"/>
    <s v="821 Main St"/>
    <x v="3"/>
    <x v="1"/>
    <s v="TRK51297879"/>
    <n v="5"/>
    <x v="1"/>
    <s v="FREESHIP"/>
    <x v="3"/>
    <n v="2673.44"/>
    <n v="668.36"/>
  </r>
  <r>
    <s v="ORD200253"/>
    <x v="230"/>
    <s v="C14891"/>
    <x v="3"/>
    <n v="4"/>
    <n v="413.74"/>
    <s v="743 Main St"/>
    <x v="3"/>
    <x v="2"/>
    <s v="TRK79471534"/>
    <n v="7"/>
    <x v="2"/>
    <s v="FREESHIP"/>
    <x v="0"/>
    <n v="1654.96"/>
    <n v="1241.22"/>
  </r>
  <r>
    <s v="ORD200254"/>
    <x v="231"/>
    <s v="C10866"/>
    <x v="0"/>
    <n v="3"/>
    <n v="263.19"/>
    <s v="770 Main St"/>
    <x v="1"/>
    <x v="3"/>
    <s v="TRK34809583"/>
    <n v="5"/>
    <x v="0"/>
    <s v="NO-DISCOUNT"/>
    <x v="0"/>
    <n v="789.56999999999994"/>
    <n v="526.38"/>
  </r>
  <r>
    <s v="ORD200255"/>
    <x v="232"/>
    <s v="C47283"/>
    <x v="0"/>
    <n v="1"/>
    <n v="263.95999999999998"/>
    <s v="806 Main St"/>
    <x v="3"/>
    <x v="2"/>
    <s v="TRK56235117"/>
    <n v="2"/>
    <x v="1"/>
    <s v="SAVE10"/>
    <x v="4"/>
    <n v="263.95999999999998"/>
    <n v="263.95999999999998"/>
  </r>
  <r>
    <s v="ORD200256"/>
    <x v="233"/>
    <s v="C94323"/>
    <x v="3"/>
    <n v="5"/>
    <n v="75.81"/>
    <s v="463 Main St"/>
    <x v="3"/>
    <x v="2"/>
    <s v="TRK22663277"/>
    <n v="10"/>
    <x v="4"/>
    <s v="WINTER15"/>
    <x v="0"/>
    <n v="379.05"/>
    <n v="379.05"/>
  </r>
  <r>
    <s v="ORD200257"/>
    <x v="234"/>
    <s v="C89732"/>
    <x v="1"/>
    <n v="1"/>
    <n v="406.22"/>
    <s v="712 Main St"/>
    <x v="2"/>
    <x v="1"/>
    <s v="TRK41059233"/>
    <n v="5"/>
    <x v="3"/>
    <s v="SAVE10"/>
    <x v="1"/>
    <n v="406.22"/>
    <n v="1624.88"/>
  </r>
  <r>
    <s v="ORD200258"/>
    <x v="235"/>
    <s v="C87764"/>
    <x v="2"/>
    <n v="2"/>
    <n v="103.41"/>
    <s v="294 Main St"/>
    <x v="1"/>
    <x v="0"/>
    <s v="TRK94082469"/>
    <n v="2"/>
    <x v="5"/>
    <s v="FREESHIP"/>
    <x v="1"/>
    <n v="206.82"/>
    <n v="0"/>
  </r>
  <r>
    <s v="ORD200259"/>
    <x v="236"/>
    <s v="C20977"/>
    <x v="3"/>
    <n v="4"/>
    <n v="435.12"/>
    <s v="636 Main St"/>
    <x v="2"/>
    <x v="3"/>
    <s v="TRK54991561"/>
    <n v="9"/>
    <x v="4"/>
    <s v="SAVE10"/>
    <x v="0"/>
    <n v="1740.48"/>
    <n v="2175.6"/>
  </r>
  <r>
    <s v="ORD200260"/>
    <x v="209"/>
    <s v="C12245"/>
    <x v="0"/>
    <n v="2"/>
    <n v="407.79"/>
    <s v="153 Main St"/>
    <x v="0"/>
    <x v="0"/>
    <s v="TRK22000463"/>
    <n v="3"/>
    <x v="1"/>
    <s v="NO-DISCOUNT"/>
    <x v="4"/>
    <n v="815.58"/>
    <n v="407.79"/>
  </r>
  <r>
    <s v="ORD200261"/>
    <x v="237"/>
    <s v="C68976"/>
    <x v="1"/>
    <n v="5"/>
    <n v="173.65"/>
    <s v="460 Main St"/>
    <x v="3"/>
    <x v="3"/>
    <s v="TRK25491356"/>
    <n v="9"/>
    <x v="3"/>
    <s v="SAVE10"/>
    <x v="2"/>
    <n v="868.25"/>
    <n v="694.6"/>
  </r>
  <r>
    <s v="ORD200262"/>
    <x v="238"/>
    <s v="C69476"/>
    <x v="1"/>
    <n v="4"/>
    <n v="249.07"/>
    <s v="642 Main St"/>
    <x v="2"/>
    <x v="2"/>
    <s v="TRK65869386"/>
    <n v="5"/>
    <x v="1"/>
    <s v="WINTER15"/>
    <x v="1"/>
    <n v="996.28"/>
    <n v="249.07"/>
  </r>
  <r>
    <s v="ORD200263"/>
    <x v="239"/>
    <s v="C71040"/>
    <x v="1"/>
    <n v="4"/>
    <n v="434.85"/>
    <s v="250 Main St"/>
    <x v="2"/>
    <x v="4"/>
    <s v="TRK41397604"/>
    <n v="4"/>
    <x v="5"/>
    <s v="WINTER15"/>
    <x v="4"/>
    <n v="1739.4"/>
    <n v="0"/>
  </r>
  <r>
    <s v="ORD200264"/>
    <x v="240"/>
    <s v="C71035"/>
    <x v="2"/>
    <n v="1"/>
    <n v="436.77"/>
    <s v="977 Main St"/>
    <x v="4"/>
    <x v="2"/>
    <s v="TRK19599578"/>
    <n v="5"/>
    <x v="3"/>
    <s v="FREESHIP"/>
    <x v="4"/>
    <n v="436.77"/>
    <n v="1747.08"/>
  </r>
  <r>
    <s v="ORD200265"/>
    <x v="241"/>
    <s v="C20752"/>
    <x v="4"/>
    <n v="1"/>
    <n v="572.13"/>
    <s v="150 Main St"/>
    <x v="0"/>
    <x v="1"/>
    <s v="TRK22298450"/>
    <n v="4"/>
    <x v="2"/>
    <s v="SAVE10"/>
    <x v="4"/>
    <n v="572.13"/>
    <n v="1716.3899999999999"/>
  </r>
  <r>
    <s v="ORD200266"/>
    <x v="180"/>
    <s v="C38840"/>
    <x v="3"/>
    <n v="4"/>
    <n v="583.07000000000005"/>
    <s v="589 Main St"/>
    <x v="2"/>
    <x v="1"/>
    <s v="TRK48484633"/>
    <n v="6"/>
    <x v="0"/>
    <s v="FREESHIP"/>
    <x v="1"/>
    <n v="2332.2800000000002"/>
    <n v="1166.1400000000001"/>
  </r>
  <r>
    <s v="ORD200267"/>
    <x v="242"/>
    <s v="C84480"/>
    <x v="3"/>
    <n v="5"/>
    <n v="468.51"/>
    <s v="803 Main St"/>
    <x v="0"/>
    <x v="3"/>
    <s v="TRK62361867"/>
    <n v="9"/>
    <x v="3"/>
    <s v="NO-DISCOUNT"/>
    <x v="3"/>
    <n v="2342.5500000000002"/>
    <n v="1874.04"/>
  </r>
  <r>
    <s v="ORD200268"/>
    <x v="178"/>
    <s v="C37032"/>
    <x v="1"/>
    <n v="2"/>
    <n v="423.88"/>
    <s v="655 Main St"/>
    <x v="0"/>
    <x v="3"/>
    <s v="TRK48639226"/>
    <n v="7"/>
    <x v="4"/>
    <s v="SAVE10"/>
    <x v="1"/>
    <n v="847.76"/>
    <n v="2119.4"/>
  </r>
  <r>
    <s v="ORD200269"/>
    <x v="97"/>
    <s v="C48942"/>
    <x v="2"/>
    <n v="4"/>
    <n v="663.67"/>
    <s v="129 Main St"/>
    <x v="2"/>
    <x v="4"/>
    <s v="TRK29355120"/>
    <n v="7"/>
    <x v="2"/>
    <s v="FREESHIP"/>
    <x v="4"/>
    <n v="2654.68"/>
    <n v="1991.0099999999998"/>
  </r>
  <r>
    <s v="ORD200270"/>
    <x v="243"/>
    <s v="C13540"/>
    <x v="4"/>
    <n v="4"/>
    <n v="309.91000000000003"/>
    <s v="127 Main St"/>
    <x v="0"/>
    <x v="0"/>
    <s v="TRK81087373"/>
    <n v="5"/>
    <x v="1"/>
    <s v="WINTER15"/>
    <x v="4"/>
    <n v="1239.6400000000001"/>
    <n v="309.91000000000003"/>
  </r>
  <r>
    <s v="ORD200271"/>
    <x v="125"/>
    <s v="C59572"/>
    <x v="0"/>
    <n v="1"/>
    <n v="542.07000000000005"/>
    <s v="791 Main St"/>
    <x v="4"/>
    <x v="0"/>
    <s v="TRK16792991"/>
    <n v="6"/>
    <x v="4"/>
    <s v="WINTER15"/>
    <x v="1"/>
    <n v="542.07000000000005"/>
    <n v="2710.3500000000004"/>
  </r>
  <r>
    <s v="ORD200272"/>
    <x v="244"/>
    <s v="C29758"/>
    <x v="3"/>
    <n v="2"/>
    <n v="399.32"/>
    <s v="119 Main St"/>
    <x v="1"/>
    <x v="4"/>
    <s v="TRK12990043"/>
    <n v="6"/>
    <x v="3"/>
    <s v="WINTER15"/>
    <x v="0"/>
    <n v="798.64"/>
    <n v="1597.28"/>
  </r>
  <r>
    <s v="ORD200273"/>
    <x v="245"/>
    <s v="C11849"/>
    <x v="2"/>
    <n v="2"/>
    <n v="238.25"/>
    <s v="974 Main St"/>
    <x v="1"/>
    <x v="1"/>
    <s v="TRK91195261"/>
    <n v="7"/>
    <x v="4"/>
    <s v="FREESHIP"/>
    <x v="2"/>
    <n v="476.5"/>
    <n v="1191.25"/>
  </r>
  <r>
    <s v="ORD200274"/>
    <x v="246"/>
    <s v="C50967"/>
    <x v="1"/>
    <n v="2"/>
    <n v="182.4"/>
    <s v="884 Main St"/>
    <x v="3"/>
    <x v="1"/>
    <s v="TRK65300814"/>
    <n v="5"/>
    <x v="2"/>
    <s v="SAVE10"/>
    <x v="1"/>
    <n v="364.8"/>
    <n v="547.20000000000005"/>
  </r>
  <r>
    <s v="ORD200275"/>
    <x v="247"/>
    <s v="C80735"/>
    <x v="3"/>
    <n v="2"/>
    <n v="65.069999999999993"/>
    <s v="360 Main St"/>
    <x v="2"/>
    <x v="1"/>
    <s v="TRK99880231"/>
    <n v="4"/>
    <x v="0"/>
    <s v="SAVE10"/>
    <x v="4"/>
    <n v="130.13999999999999"/>
    <n v="130.13999999999999"/>
  </r>
  <r>
    <s v="ORD200276"/>
    <x v="248"/>
    <s v="C99050"/>
    <x v="4"/>
    <n v="2"/>
    <n v="600.57000000000005"/>
    <s v="654 Main St"/>
    <x v="0"/>
    <x v="2"/>
    <s v="TRK56927089"/>
    <n v="3"/>
    <x v="1"/>
    <s v="WINTER15"/>
    <x v="0"/>
    <n v="1201.1400000000001"/>
    <n v="600.57000000000005"/>
  </r>
  <r>
    <s v="ORD200277"/>
    <x v="82"/>
    <s v="C11210"/>
    <x v="3"/>
    <n v="5"/>
    <n v="90.92"/>
    <s v="910 Main St"/>
    <x v="2"/>
    <x v="3"/>
    <s v="TRK44929965"/>
    <n v="9"/>
    <x v="3"/>
    <s v="SAVE10"/>
    <x v="3"/>
    <n v="454.6"/>
    <n v="363.68"/>
  </r>
  <r>
    <s v="ORD200278"/>
    <x v="249"/>
    <s v="C46015"/>
    <x v="5"/>
    <n v="5"/>
    <n v="362.46"/>
    <s v="299 Main St"/>
    <x v="4"/>
    <x v="3"/>
    <s v="TRK46598430"/>
    <n v="6"/>
    <x v="1"/>
    <s v="FREESHIP"/>
    <x v="0"/>
    <n v="1812.3"/>
    <n v="362.46"/>
  </r>
  <r>
    <s v="ORD200279"/>
    <x v="250"/>
    <s v="C69167"/>
    <x v="3"/>
    <n v="3"/>
    <n v="55.01"/>
    <s v="263 Main St"/>
    <x v="1"/>
    <x v="4"/>
    <s v="TRK12425655"/>
    <n v="7"/>
    <x v="3"/>
    <s v="WINTER15"/>
    <x v="2"/>
    <n v="165.03"/>
    <n v="220.04"/>
  </r>
  <r>
    <s v="ORD200280"/>
    <x v="14"/>
    <s v="C55388"/>
    <x v="2"/>
    <n v="3"/>
    <n v="404.62"/>
    <s v="740 Main St"/>
    <x v="3"/>
    <x v="3"/>
    <s v="TRK75741001"/>
    <n v="6"/>
    <x v="2"/>
    <s v="FREESHIP"/>
    <x v="0"/>
    <n v="1213.8599999999999"/>
    <n v="1213.8600000000001"/>
  </r>
  <r>
    <s v="ORD200281"/>
    <x v="152"/>
    <s v="C87181"/>
    <x v="6"/>
    <n v="4"/>
    <n v="654.79"/>
    <s v="195 Main St"/>
    <x v="4"/>
    <x v="4"/>
    <s v="TRK60093390"/>
    <n v="9"/>
    <x v="4"/>
    <s v="NO-DISCOUNT"/>
    <x v="1"/>
    <n v="2619.16"/>
    <n v="3273.95"/>
  </r>
  <r>
    <s v="ORD200282"/>
    <x v="251"/>
    <s v="C30411"/>
    <x v="4"/>
    <n v="4"/>
    <n v="637.79"/>
    <s v="375 Main St"/>
    <x v="3"/>
    <x v="1"/>
    <s v="TRK71810536"/>
    <n v="9"/>
    <x v="4"/>
    <s v="FREESHIP"/>
    <x v="4"/>
    <n v="2551.16"/>
    <n v="3188.95"/>
  </r>
  <r>
    <s v="ORD200283"/>
    <x v="252"/>
    <s v="C39638"/>
    <x v="5"/>
    <n v="4"/>
    <n v="540.33000000000004"/>
    <s v="990 Main St"/>
    <x v="4"/>
    <x v="0"/>
    <s v="TRK69745608"/>
    <n v="6"/>
    <x v="0"/>
    <s v="NO-DISCOUNT"/>
    <x v="4"/>
    <n v="2161.3200000000002"/>
    <n v="1080.6600000000001"/>
  </r>
  <r>
    <s v="ORD200284"/>
    <x v="223"/>
    <s v="C27203"/>
    <x v="5"/>
    <n v="5"/>
    <n v="208.17"/>
    <s v="516 Main St"/>
    <x v="2"/>
    <x v="2"/>
    <s v="TRK22023906"/>
    <n v="6"/>
    <x v="1"/>
    <s v="SAVE10"/>
    <x v="3"/>
    <n v="1040.8499999999999"/>
    <n v="208.17"/>
  </r>
  <r>
    <s v="ORD200285"/>
    <x v="69"/>
    <s v="C67583"/>
    <x v="1"/>
    <n v="1"/>
    <n v="338.31"/>
    <s v="974 Main St"/>
    <x v="1"/>
    <x v="3"/>
    <s v="TRK93281700"/>
    <n v="3"/>
    <x v="0"/>
    <s v="NO-DISCOUNT"/>
    <x v="4"/>
    <n v="338.31"/>
    <n v="676.62"/>
  </r>
  <r>
    <s v="ORD200286"/>
    <x v="253"/>
    <s v="C70554"/>
    <x v="0"/>
    <n v="3"/>
    <n v="139.44999999999999"/>
    <s v="187 Main St"/>
    <x v="3"/>
    <x v="2"/>
    <s v="TRK61086952"/>
    <n v="8"/>
    <x v="4"/>
    <s v="WINTER15"/>
    <x v="4"/>
    <n v="418.35"/>
    <n v="697.25"/>
  </r>
  <r>
    <s v="ORD200287"/>
    <x v="254"/>
    <s v="C70437"/>
    <x v="3"/>
    <n v="4"/>
    <n v="655.17999999999995"/>
    <s v="630 Main St"/>
    <x v="1"/>
    <x v="0"/>
    <s v="TRK26628830"/>
    <n v="5"/>
    <x v="1"/>
    <s v="NO-DISCOUNT"/>
    <x v="3"/>
    <n v="2620.7199999999998"/>
    <n v="655.17999999999995"/>
  </r>
  <r>
    <s v="ORD200288"/>
    <x v="255"/>
    <s v="C97643"/>
    <x v="5"/>
    <n v="4"/>
    <n v="512.75"/>
    <s v="537 Main St"/>
    <x v="0"/>
    <x v="2"/>
    <s v="TRK60831391"/>
    <n v="8"/>
    <x v="3"/>
    <s v="WINTER15"/>
    <x v="4"/>
    <n v="2051"/>
    <n v="2051"/>
  </r>
  <r>
    <s v="ORD200289"/>
    <x v="256"/>
    <s v="C17136"/>
    <x v="3"/>
    <n v="4"/>
    <n v="160.49"/>
    <s v="333 Main St"/>
    <x v="2"/>
    <x v="0"/>
    <s v="TRK55362541"/>
    <n v="8"/>
    <x v="3"/>
    <s v="WINTER15"/>
    <x v="1"/>
    <n v="641.96"/>
    <n v="641.96"/>
  </r>
  <r>
    <s v="ORD200290"/>
    <x v="257"/>
    <s v="C24901"/>
    <x v="3"/>
    <n v="3"/>
    <n v="99.9"/>
    <s v="258 Main St"/>
    <x v="4"/>
    <x v="3"/>
    <s v="TRK14029489"/>
    <n v="8"/>
    <x v="4"/>
    <s v="FREESHIP"/>
    <x v="3"/>
    <n v="299.7"/>
    <n v="499.5"/>
  </r>
  <r>
    <s v="ORD200291"/>
    <x v="258"/>
    <s v="C61521"/>
    <x v="1"/>
    <n v="2"/>
    <n v="345.01"/>
    <s v="670 Main St"/>
    <x v="2"/>
    <x v="3"/>
    <s v="TRK93676567"/>
    <n v="6"/>
    <x v="3"/>
    <s v="FREESHIP"/>
    <x v="4"/>
    <n v="690.02"/>
    <n v="1380.04"/>
  </r>
  <r>
    <s v="ORD200292"/>
    <x v="259"/>
    <s v="C39639"/>
    <x v="0"/>
    <n v="1"/>
    <n v="65.95"/>
    <s v="185 Main St"/>
    <x v="2"/>
    <x v="3"/>
    <s v="TRK31042152"/>
    <n v="5"/>
    <x v="3"/>
    <s v="NO-DISCOUNT"/>
    <x v="3"/>
    <n v="65.95"/>
    <n v="263.8"/>
  </r>
  <r>
    <s v="ORD200293"/>
    <x v="223"/>
    <s v="C33220"/>
    <x v="2"/>
    <n v="4"/>
    <n v="463.04"/>
    <s v="564 Main St"/>
    <x v="3"/>
    <x v="2"/>
    <s v="TRK40450219"/>
    <n v="9"/>
    <x v="4"/>
    <s v="NO-DISCOUNT"/>
    <x v="0"/>
    <n v="1852.16"/>
    <n v="2315.2000000000003"/>
  </r>
  <r>
    <s v="ORD200294"/>
    <x v="260"/>
    <s v="C65414"/>
    <x v="1"/>
    <n v="2"/>
    <n v="297.70999999999998"/>
    <s v="208 Main St"/>
    <x v="1"/>
    <x v="0"/>
    <s v="TRK67562517"/>
    <n v="7"/>
    <x v="4"/>
    <s v="SAVE10"/>
    <x v="1"/>
    <n v="595.41999999999996"/>
    <n v="1488.55"/>
  </r>
  <r>
    <s v="ORD200295"/>
    <x v="261"/>
    <s v="C49009"/>
    <x v="4"/>
    <n v="5"/>
    <n v="107.48"/>
    <s v="278 Main St"/>
    <x v="0"/>
    <x v="1"/>
    <s v="TRK46285799"/>
    <n v="9"/>
    <x v="3"/>
    <s v="FREESHIP"/>
    <x v="2"/>
    <n v="537.4"/>
    <n v="429.92"/>
  </r>
  <r>
    <s v="ORD200296"/>
    <x v="83"/>
    <s v="C48453"/>
    <x v="6"/>
    <n v="5"/>
    <n v="638.79999999999995"/>
    <s v="434 Main St"/>
    <x v="0"/>
    <x v="1"/>
    <s v="TRK52110494"/>
    <n v="10"/>
    <x v="4"/>
    <s v="WINTER15"/>
    <x v="1"/>
    <n v="3194"/>
    <n v="3194"/>
  </r>
  <r>
    <s v="ORD200297"/>
    <x v="262"/>
    <s v="C68078"/>
    <x v="6"/>
    <n v="2"/>
    <n v="493.88"/>
    <s v="252 Main St"/>
    <x v="2"/>
    <x v="2"/>
    <s v="TRK64862812"/>
    <n v="7"/>
    <x v="4"/>
    <s v="SAVE10"/>
    <x v="0"/>
    <n v="987.76"/>
    <n v="2469.4"/>
  </r>
  <r>
    <s v="ORD200298"/>
    <x v="263"/>
    <s v="C19402"/>
    <x v="4"/>
    <n v="4"/>
    <n v="301.17"/>
    <s v="267 Main St"/>
    <x v="1"/>
    <x v="1"/>
    <s v="TRK97825212"/>
    <n v="6"/>
    <x v="0"/>
    <s v="NO-DISCOUNT"/>
    <x v="2"/>
    <n v="1204.68"/>
    <n v="602.34"/>
  </r>
  <r>
    <s v="ORD200299"/>
    <x v="264"/>
    <s v="C30711"/>
    <x v="0"/>
    <n v="1"/>
    <n v="278.66000000000003"/>
    <s v="856 Main St"/>
    <x v="3"/>
    <x v="1"/>
    <s v="TRK42696593"/>
    <n v="2"/>
    <x v="1"/>
    <s v="FREESHIP"/>
    <x v="0"/>
    <n v="278.66000000000003"/>
    <n v="278.66000000000003"/>
  </r>
  <r>
    <s v="ORD200300"/>
    <x v="265"/>
    <s v="C39000"/>
    <x v="1"/>
    <n v="1"/>
    <n v="287.45999999999998"/>
    <s v="894 Main St"/>
    <x v="0"/>
    <x v="2"/>
    <s v="TRK33753945"/>
    <n v="3"/>
    <x v="0"/>
    <s v="FREESHIP"/>
    <x v="3"/>
    <n v="287.45999999999998"/>
    <n v="574.91999999999996"/>
  </r>
  <r>
    <s v="ORD200301"/>
    <x v="67"/>
    <s v="C31105"/>
    <x v="3"/>
    <n v="1"/>
    <n v="583.99"/>
    <s v="726 Main St"/>
    <x v="4"/>
    <x v="1"/>
    <s v="TRK40149095"/>
    <n v="2"/>
    <x v="1"/>
    <s v="SAVE10"/>
    <x v="2"/>
    <n v="583.99"/>
    <n v="583.99"/>
  </r>
  <r>
    <s v="ORD200302"/>
    <x v="220"/>
    <s v="C29432"/>
    <x v="3"/>
    <n v="3"/>
    <n v="468.74"/>
    <s v="121 Main St"/>
    <x v="4"/>
    <x v="4"/>
    <s v="TRK44142517"/>
    <n v="4"/>
    <x v="1"/>
    <s v="FREESHIP"/>
    <x v="0"/>
    <n v="1406.22"/>
    <n v="468.74"/>
  </r>
  <r>
    <s v="ORD200303"/>
    <x v="34"/>
    <s v="C48531"/>
    <x v="2"/>
    <n v="1"/>
    <n v="30.54"/>
    <s v="368 Main St"/>
    <x v="0"/>
    <x v="2"/>
    <s v="TRK95462192"/>
    <n v="1"/>
    <x v="5"/>
    <s v="NO-DISCOUNT"/>
    <x v="4"/>
    <n v="30.54"/>
    <n v="0"/>
  </r>
  <r>
    <s v="ORD200304"/>
    <x v="266"/>
    <s v="C86762"/>
    <x v="0"/>
    <n v="5"/>
    <n v="408.73"/>
    <s v="326 Main St"/>
    <x v="3"/>
    <x v="3"/>
    <s v="TRK75686292"/>
    <n v="10"/>
    <x v="4"/>
    <s v="FREESHIP"/>
    <x v="0"/>
    <n v="2043.65"/>
    <n v="2043.65"/>
  </r>
  <r>
    <s v="ORD200305"/>
    <x v="97"/>
    <s v="C63822"/>
    <x v="5"/>
    <n v="4"/>
    <n v="126.89"/>
    <s v="235 Main St"/>
    <x v="4"/>
    <x v="4"/>
    <s v="TRK59353216"/>
    <n v="9"/>
    <x v="4"/>
    <s v="FREESHIP"/>
    <x v="0"/>
    <n v="507.56"/>
    <n v="634.45000000000005"/>
  </r>
  <r>
    <s v="ORD200306"/>
    <x v="267"/>
    <s v="C70495"/>
    <x v="4"/>
    <n v="2"/>
    <n v="57.07"/>
    <s v="238 Main St"/>
    <x v="0"/>
    <x v="2"/>
    <s v="TRK65511225"/>
    <n v="3"/>
    <x v="1"/>
    <s v="SAVE10"/>
    <x v="0"/>
    <n v="114.14"/>
    <n v="57.07"/>
  </r>
  <r>
    <s v="ORD200307"/>
    <x v="268"/>
    <s v="C92407"/>
    <x v="5"/>
    <n v="3"/>
    <n v="557.41"/>
    <s v="135 Main St"/>
    <x v="1"/>
    <x v="3"/>
    <s v="TRK11755610"/>
    <n v="4"/>
    <x v="1"/>
    <s v="NO-DISCOUNT"/>
    <x v="2"/>
    <n v="1672.23"/>
    <n v="557.41"/>
  </r>
  <r>
    <s v="ORD200308"/>
    <x v="66"/>
    <s v="C75888"/>
    <x v="4"/>
    <n v="3"/>
    <n v="448.9"/>
    <s v="790 Main St"/>
    <x v="0"/>
    <x v="2"/>
    <s v="TRK98467398"/>
    <n v="7"/>
    <x v="3"/>
    <s v="SAVE10"/>
    <x v="0"/>
    <n v="1346.7"/>
    <n v="1795.6"/>
  </r>
  <r>
    <s v="ORD200309"/>
    <x v="269"/>
    <s v="C63153"/>
    <x v="3"/>
    <n v="4"/>
    <n v="549.76"/>
    <s v="625 Main St"/>
    <x v="0"/>
    <x v="3"/>
    <s v="TRK38033305"/>
    <n v="4"/>
    <x v="5"/>
    <s v="FREESHIP"/>
    <x v="3"/>
    <n v="2199.04"/>
    <n v="0"/>
  </r>
  <r>
    <s v="ORD200310"/>
    <x v="270"/>
    <s v="C85863"/>
    <x v="4"/>
    <n v="3"/>
    <n v="132.47999999999999"/>
    <s v="968 Main St"/>
    <x v="1"/>
    <x v="0"/>
    <s v="TRK16094218"/>
    <n v="4"/>
    <x v="1"/>
    <s v="NO-DISCOUNT"/>
    <x v="1"/>
    <n v="397.43999999999988"/>
    <n v="132.47999999999999"/>
  </r>
  <r>
    <s v="ORD200311"/>
    <x v="271"/>
    <s v="C71698"/>
    <x v="6"/>
    <n v="5"/>
    <n v="489.37"/>
    <s v="274 Main St"/>
    <x v="1"/>
    <x v="2"/>
    <s v="TRK34786818"/>
    <n v="8"/>
    <x v="2"/>
    <s v="NO-DISCOUNT"/>
    <x v="0"/>
    <n v="2446.85"/>
    <n v="1468.1100000000001"/>
  </r>
  <r>
    <s v="ORD200312"/>
    <x v="272"/>
    <s v="C35397"/>
    <x v="4"/>
    <n v="5"/>
    <n v="66.31"/>
    <s v="579 Main St"/>
    <x v="3"/>
    <x v="4"/>
    <s v="TRK64742535"/>
    <n v="7"/>
    <x v="0"/>
    <s v="FREESHIP"/>
    <x v="1"/>
    <n v="331.55"/>
    <n v="132.62"/>
  </r>
  <r>
    <s v="ORD200313"/>
    <x v="273"/>
    <s v="C67687"/>
    <x v="3"/>
    <n v="2"/>
    <n v="434.3"/>
    <s v="978 Main St"/>
    <x v="4"/>
    <x v="3"/>
    <s v="TRK22838735"/>
    <n v="7"/>
    <x v="4"/>
    <s v="SAVE10"/>
    <x v="0"/>
    <n v="868.6"/>
    <n v="2171.5"/>
  </r>
  <r>
    <s v="ORD200314"/>
    <x v="274"/>
    <s v="C29931"/>
    <x v="6"/>
    <n v="4"/>
    <n v="153.09"/>
    <s v="540 Main St"/>
    <x v="1"/>
    <x v="3"/>
    <s v="TRK48712417"/>
    <n v="4"/>
    <x v="5"/>
    <s v="FREESHIP"/>
    <x v="1"/>
    <n v="612.36"/>
    <n v="0"/>
  </r>
  <r>
    <s v="ORD200315"/>
    <x v="275"/>
    <s v="C59139"/>
    <x v="2"/>
    <n v="5"/>
    <n v="91.67"/>
    <s v="301 Main St"/>
    <x v="1"/>
    <x v="1"/>
    <s v="TRK45507090"/>
    <n v="9"/>
    <x v="3"/>
    <s v="FREESHIP"/>
    <x v="2"/>
    <n v="458.35"/>
    <n v="366.68"/>
  </r>
  <r>
    <s v="ORD200316"/>
    <x v="276"/>
    <s v="C66078"/>
    <x v="6"/>
    <n v="4"/>
    <n v="275.27999999999997"/>
    <s v="101 Main St"/>
    <x v="3"/>
    <x v="0"/>
    <s v="TRK86474559"/>
    <n v="9"/>
    <x v="4"/>
    <s v="WINTER15"/>
    <x v="3"/>
    <n v="1101.1199999999999"/>
    <n v="1376.3999999999999"/>
  </r>
  <r>
    <s v="ORD200317"/>
    <x v="132"/>
    <s v="C88370"/>
    <x v="0"/>
    <n v="2"/>
    <n v="139.94999999999999"/>
    <s v="339 Main St"/>
    <x v="1"/>
    <x v="2"/>
    <s v="TRK22575151"/>
    <n v="5"/>
    <x v="2"/>
    <s v="NO-DISCOUNT"/>
    <x v="0"/>
    <n v="279.89999999999998"/>
    <n v="419.84999999999997"/>
  </r>
  <r>
    <s v="ORD200318"/>
    <x v="277"/>
    <s v="C93375"/>
    <x v="3"/>
    <n v="3"/>
    <n v="148.72"/>
    <s v="317 Main St"/>
    <x v="0"/>
    <x v="1"/>
    <s v="TRK95706967"/>
    <n v="7"/>
    <x v="3"/>
    <s v="SAVE10"/>
    <x v="4"/>
    <n v="446.16"/>
    <n v="594.88"/>
  </r>
  <r>
    <s v="ORD200319"/>
    <x v="278"/>
    <s v="C53049"/>
    <x v="5"/>
    <n v="2"/>
    <n v="563.05999999999995"/>
    <s v="413 Main St"/>
    <x v="4"/>
    <x v="2"/>
    <s v="TRK48974907"/>
    <n v="6"/>
    <x v="3"/>
    <s v="NO-DISCOUNT"/>
    <x v="0"/>
    <n v="1126.1199999999999"/>
    <n v="2252.2399999999998"/>
  </r>
  <r>
    <s v="ORD200320"/>
    <x v="36"/>
    <s v="C55590"/>
    <x v="4"/>
    <n v="1"/>
    <n v="625.51"/>
    <s v="772 Main St"/>
    <x v="2"/>
    <x v="0"/>
    <s v="TRK48792951"/>
    <n v="1"/>
    <x v="5"/>
    <s v="FREESHIP"/>
    <x v="3"/>
    <n v="625.51"/>
    <n v="0"/>
  </r>
  <r>
    <s v="ORD200321"/>
    <x v="279"/>
    <s v="C47086"/>
    <x v="1"/>
    <n v="4"/>
    <n v="152.29"/>
    <s v="135 Main St"/>
    <x v="0"/>
    <x v="1"/>
    <s v="TRK44194358"/>
    <n v="6"/>
    <x v="0"/>
    <s v="WINTER15"/>
    <x v="4"/>
    <n v="609.16"/>
    <n v="304.58"/>
  </r>
  <r>
    <s v="ORD200322"/>
    <x v="280"/>
    <s v="C48646"/>
    <x v="1"/>
    <n v="5"/>
    <n v="231.82"/>
    <s v="339 Main St"/>
    <x v="0"/>
    <x v="3"/>
    <s v="TRK18233748"/>
    <n v="6"/>
    <x v="1"/>
    <s v="SAVE10"/>
    <x v="3"/>
    <n v="1159.0999999999999"/>
    <n v="231.82"/>
  </r>
  <r>
    <s v="ORD200323"/>
    <x v="281"/>
    <s v="C29416"/>
    <x v="5"/>
    <n v="1"/>
    <n v="150.16999999999999"/>
    <s v="414 Main St"/>
    <x v="0"/>
    <x v="2"/>
    <s v="TRK63820842"/>
    <n v="1"/>
    <x v="5"/>
    <s v="SAVE10"/>
    <x v="1"/>
    <n v="150.16999999999999"/>
    <n v="0"/>
  </r>
  <r>
    <s v="ORD200324"/>
    <x v="136"/>
    <s v="C13525"/>
    <x v="2"/>
    <n v="3"/>
    <n v="70.930000000000007"/>
    <s v="847 Main St"/>
    <x v="0"/>
    <x v="2"/>
    <s v="TRK70193221"/>
    <n v="5"/>
    <x v="0"/>
    <s v="NO-DISCOUNT"/>
    <x v="1"/>
    <n v="212.79"/>
    <n v="141.86000000000001"/>
  </r>
  <r>
    <s v="ORD200325"/>
    <x v="282"/>
    <s v="C53545"/>
    <x v="6"/>
    <n v="3"/>
    <n v="361.39"/>
    <s v="665 Main St"/>
    <x v="2"/>
    <x v="0"/>
    <s v="TRK61123177"/>
    <n v="8"/>
    <x v="4"/>
    <s v="NO-DISCOUNT"/>
    <x v="1"/>
    <n v="1084.17"/>
    <n v="1806.9499999999998"/>
  </r>
  <r>
    <s v="ORD200326"/>
    <x v="283"/>
    <s v="C65986"/>
    <x v="5"/>
    <n v="5"/>
    <n v="670.48"/>
    <s v="273 Main St"/>
    <x v="3"/>
    <x v="2"/>
    <s v="TRK98353867"/>
    <n v="5"/>
    <x v="5"/>
    <s v="SAVE10"/>
    <x v="3"/>
    <n v="3352.4"/>
    <n v="0"/>
  </r>
  <r>
    <s v="ORD200327"/>
    <x v="284"/>
    <s v="C17302"/>
    <x v="1"/>
    <n v="1"/>
    <n v="359.99"/>
    <s v="385 Main St"/>
    <x v="3"/>
    <x v="1"/>
    <s v="TRK43940016"/>
    <n v="5"/>
    <x v="3"/>
    <s v="SAVE10"/>
    <x v="2"/>
    <n v="359.99"/>
    <n v="1439.96"/>
  </r>
  <r>
    <s v="ORD200328"/>
    <x v="285"/>
    <s v="C18404"/>
    <x v="2"/>
    <n v="5"/>
    <n v="674.04"/>
    <s v="546 Main St"/>
    <x v="1"/>
    <x v="1"/>
    <s v="TRK89401624"/>
    <n v="7"/>
    <x v="0"/>
    <s v="SAVE10"/>
    <x v="4"/>
    <n v="3370.2"/>
    <n v="1348.08"/>
  </r>
  <r>
    <s v="ORD200329"/>
    <x v="286"/>
    <s v="C88371"/>
    <x v="3"/>
    <n v="4"/>
    <n v="283.16000000000003"/>
    <s v="306 Main St"/>
    <x v="2"/>
    <x v="0"/>
    <s v="TRK63224811"/>
    <n v="6"/>
    <x v="0"/>
    <s v="NO-DISCOUNT"/>
    <x v="4"/>
    <n v="1132.6400000000001"/>
    <n v="566.32000000000005"/>
  </r>
  <r>
    <s v="ORD200330"/>
    <x v="287"/>
    <s v="C38068"/>
    <x v="6"/>
    <n v="5"/>
    <n v="260.52999999999997"/>
    <s v="532 Main St"/>
    <x v="3"/>
    <x v="4"/>
    <s v="TRK54059198"/>
    <n v="5"/>
    <x v="5"/>
    <s v="SAVE10"/>
    <x v="0"/>
    <n v="1302.6500000000001"/>
    <n v="0"/>
  </r>
  <r>
    <s v="ORD200331"/>
    <x v="288"/>
    <s v="C78724"/>
    <x v="4"/>
    <n v="3"/>
    <n v="422.13"/>
    <s v="187 Main St"/>
    <x v="1"/>
    <x v="3"/>
    <s v="TRK25703134"/>
    <n v="7"/>
    <x v="3"/>
    <s v="SAVE10"/>
    <x v="3"/>
    <n v="1266.3900000000001"/>
    <n v="1688.52"/>
  </r>
  <r>
    <s v="ORD200332"/>
    <x v="289"/>
    <s v="C26163"/>
    <x v="6"/>
    <n v="5"/>
    <n v="125.02"/>
    <s v="607 Main St"/>
    <x v="0"/>
    <x v="4"/>
    <s v="TRK67499316"/>
    <n v="9"/>
    <x v="3"/>
    <s v="SAVE10"/>
    <x v="4"/>
    <n v="625.1"/>
    <n v="500.08"/>
  </r>
  <r>
    <s v="ORD200333"/>
    <x v="162"/>
    <s v="C87124"/>
    <x v="1"/>
    <n v="1"/>
    <n v="198.51"/>
    <s v="818 Main St"/>
    <x v="2"/>
    <x v="2"/>
    <s v="TRK52086740"/>
    <n v="5"/>
    <x v="3"/>
    <s v="WINTER15"/>
    <x v="0"/>
    <n v="198.51"/>
    <n v="794.04"/>
  </r>
  <r>
    <s v="ORD200334"/>
    <x v="290"/>
    <s v="C90348"/>
    <x v="3"/>
    <n v="4"/>
    <n v="224.75"/>
    <s v="728 Main St"/>
    <x v="1"/>
    <x v="3"/>
    <s v="TRK20635777"/>
    <n v="7"/>
    <x v="2"/>
    <s v="WINTER15"/>
    <x v="3"/>
    <n v="899"/>
    <n v="674.25"/>
  </r>
  <r>
    <s v="ORD200335"/>
    <x v="291"/>
    <s v="C58721"/>
    <x v="2"/>
    <n v="3"/>
    <n v="205.86"/>
    <s v="978 Main St"/>
    <x v="3"/>
    <x v="0"/>
    <s v="TRK34801199"/>
    <n v="4"/>
    <x v="1"/>
    <s v="NO-DISCOUNT"/>
    <x v="2"/>
    <n v="617.58000000000004"/>
    <n v="205.86"/>
  </r>
  <r>
    <s v="ORD200336"/>
    <x v="10"/>
    <s v="C88174"/>
    <x v="5"/>
    <n v="1"/>
    <n v="18.2"/>
    <s v="441 Main St"/>
    <x v="0"/>
    <x v="4"/>
    <s v="TRK10143345"/>
    <n v="4"/>
    <x v="2"/>
    <s v="SAVE10"/>
    <x v="0"/>
    <n v="18.2"/>
    <n v="54.599999999999994"/>
  </r>
  <r>
    <s v="ORD200337"/>
    <x v="292"/>
    <s v="C77763"/>
    <x v="2"/>
    <n v="3"/>
    <n v="502.77"/>
    <s v="599 Main St"/>
    <x v="0"/>
    <x v="2"/>
    <s v="TRK66980447"/>
    <n v="8"/>
    <x v="4"/>
    <s v="WINTER15"/>
    <x v="2"/>
    <n v="1508.31"/>
    <n v="2513.85"/>
  </r>
  <r>
    <s v="ORD200338"/>
    <x v="293"/>
    <s v="C53627"/>
    <x v="1"/>
    <n v="5"/>
    <n v="305.49"/>
    <s v="704 Main St"/>
    <x v="0"/>
    <x v="0"/>
    <s v="TRK64112352"/>
    <n v="10"/>
    <x v="4"/>
    <s v="NO-DISCOUNT"/>
    <x v="1"/>
    <n v="1527.45"/>
    <n v="1527.45"/>
  </r>
  <r>
    <s v="ORD200339"/>
    <x v="294"/>
    <s v="C84563"/>
    <x v="4"/>
    <n v="2"/>
    <n v="236.33"/>
    <s v="398 Main St"/>
    <x v="1"/>
    <x v="4"/>
    <s v="TRK62422797"/>
    <n v="3"/>
    <x v="1"/>
    <s v="SAVE10"/>
    <x v="0"/>
    <n v="472.66"/>
    <n v="236.33"/>
  </r>
  <r>
    <s v="ORD200340"/>
    <x v="295"/>
    <s v="C76207"/>
    <x v="5"/>
    <n v="5"/>
    <n v="521.25"/>
    <s v="826 Main St"/>
    <x v="4"/>
    <x v="1"/>
    <s v="TRK25569378"/>
    <n v="8"/>
    <x v="2"/>
    <s v="NO-DISCOUNT"/>
    <x v="2"/>
    <n v="2606.25"/>
    <n v="1563.75"/>
  </r>
  <r>
    <s v="ORD200341"/>
    <x v="296"/>
    <s v="C94671"/>
    <x v="2"/>
    <n v="1"/>
    <n v="167.15"/>
    <s v="293 Main St"/>
    <x v="3"/>
    <x v="0"/>
    <s v="TRK61357272"/>
    <n v="5"/>
    <x v="3"/>
    <s v="WINTER15"/>
    <x v="2"/>
    <n v="167.15"/>
    <n v="668.6"/>
  </r>
  <r>
    <s v="ORD200342"/>
    <x v="53"/>
    <s v="C69994"/>
    <x v="0"/>
    <n v="5"/>
    <n v="466.42"/>
    <s v="619 Main St"/>
    <x v="3"/>
    <x v="2"/>
    <s v="TRK95935805"/>
    <n v="5"/>
    <x v="5"/>
    <s v="NO-DISCOUNT"/>
    <x v="1"/>
    <n v="2332.1"/>
    <n v="0"/>
  </r>
  <r>
    <s v="ORD200343"/>
    <x v="297"/>
    <s v="C64638"/>
    <x v="4"/>
    <n v="1"/>
    <n v="527.57000000000005"/>
    <s v="919 Main St"/>
    <x v="0"/>
    <x v="4"/>
    <s v="TRK64087938"/>
    <n v="3"/>
    <x v="0"/>
    <s v="FREESHIP"/>
    <x v="3"/>
    <n v="527.57000000000005"/>
    <n v="1055.1400000000001"/>
  </r>
  <r>
    <s v="ORD200344"/>
    <x v="298"/>
    <s v="C95623"/>
    <x v="2"/>
    <n v="3"/>
    <n v="623.34"/>
    <s v="248 Main St"/>
    <x v="1"/>
    <x v="1"/>
    <s v="TRK67558189"/>
    <n v="3"/>
    <x v="5"/>
    <s v="SAVE10"/>
    <x v="0"/>
    <n v="1870.02"/>
    <n v="0"/>
  </r>
  <r>
    <s v="ORD200345"/>
    <x v="173"/>
    <s v="C24751"/>
    <x v="2"/>
    <n v="5"/>
    <n v="501.26"/>
    <s v="259 Main St"/>
    <x v="3"/>
    <x v="0"/>
    <s v="TRK37285406"/>
    <n v="10"/>
    <x v="4"/>
    <s v="FREESHIP"/>
    <x v="1"/>
    <n v="2506.3000000000002"/>
    <n v="2506.3000000000002"/>
  </r>
  <r>
    <s v="ORD200346"/>
    <x v="299"/>
    <s v="C31764"/>
    <x v="2"/>
    <n v="1"/>
    <n v="655.09"/>
    <s v="876 Main St"/>
    <x v="4"/>
    <x v="4"/>
    <s v="TRK44680433"/>
    <n v="6"/>
    <x v="4"/>
    <s v="NO-DISCOUNT"/>
    <x v="1"/>
    <n v="655.09"/>
    <n v="3275.4500000000003"/>
  </r>
  <r>
    <s v="ORD200347"/>
    <x v="300"/>
    <s v="C83556"/>
    <x v="4"/>
    <n v="4"/>
    <n v="264.79000000000002"/>
    <s v="380 Main St"/>
    <x v="2"/>
    <x v="4"/>
    <s v="TRK21109187"/>
    <n v="5"/>
    <x v="1"/>
    <s v="SAVE10"/>
    <x v="4"/>
    <n v="1059.1600000000001"/>
    <n v="264.79000000000002"/>
  </r>
  <r>
    <s v="ORD200348"/>
    <x v="206"/>
    <s v="C24369"/>
    <x v="5"/>
    <n v="3"/>
    <n v="359.73"/>
    <s v="885 Main St"/>
    <x v="0"/>
    <x v="2"/>
    <s v="TRK72633998"/>
    <n v="7"/>
    <x v="3"/>
    <s v="FREESHIP"/>
    <x v="2"/>
    <n v="1079.19"/>
    <n v="1438.92"/>
  </r>
  <r>
    <s v="ORD200349"/>
    <x v="115"/>
    <s v="C39648"/>
    <x v="3"/>
    <n v="1"/>
    <n v="465.33"/>
    <s v="824 Main St"/>
    <x v="3"/>
    <x v="3"/>
    <s v="TRK56016905"/>
    <n v="2"/>
    <x v="1"/>
    <s v="FREESHIP"/>
    <x v="4"/>
    <n v="465.33"/>
    <n v="465.33"/>
  </r>
  <r>
    <s v="ORD200350"/>
    <x v="301"/>
    <s v="C13296"/>
    <x v="3"/>
    <n v="2"/>
    <n v="54.41"/>
    <s v="495 Main St"/>
    <x v="1"/>
    <x v="0"/>
    <s v="TRK60127216"/>
    <n v="6"/>
    <x v="3"/>
    <s v="NO-DISCOUNT"/>
    <x v="0"/>
    <n v="108.82"/>
    <n v="217.64"/>
  </r>
  <r>
    <s v="ORD200351"/>
    <x v="302"/>
    <s v="C94248"/>
    <x v="5"/>
    <n v="1"/>
    <n v="64.66"/>
    <s v="494 Main St"/>
    <x v="0"/>
    <x v="3"/>
    <s v="TRK89406816"/>
    <n v="4"/>
    <x v="2"/>
    <s v="NO-DISCOUNT"/>
    <x v="0"/>
    <n v="64.66"/>
    <n v="193.98"/>
  </r>
  <r>
    <s v="ORD200352"/>
    <x v="303"/>
    <s v="C26637"/>
    <x v="3"/>
    <n v="5"/>
    <n v="173.96"/>
    <s v="995 Main St"/>
    <x v="0"/>
    <x v="4"/>
    <s v="TRK59546992"/>
    <n v="8"/>
    <x v="2"/>
    <s v="WINTER15"/>
    <x v="0"/>
    <n v="869.80000000000007"/>
    <n v="521.88"/>
  </r>
  <r>
    <s v="ORD200353"/>
    <x v="210"/>
    <s v="C16012"/>
    <x v="2"/>
    <n v="1"/>
    <n v="630.82000000000005"/>
    <s v="171 Main St"/>
    <x v="1"/>
    <x v="3"/>
    <s v="TRK15195225"/>
    <n v="5"/>
    <x v="3"/>
    <s v="FREESHIP"/>
    <x v="4"/>
    <n v="630.82000000000005"/>
    <n v="2523.2800000000002"/>
  </r>
  <r>
    <s v="ORD200354"/>
    <x v="304"/>
    <s v="C31772"/>
    <x v="1"/>
    <n v="1"/>
    <n v="693.41"/>
    <s v="992 Main St"/>
    <x v="0"/>
    <x v="0"/>
    <s v="TRK11970357"/>
    <n v="4"/>
    <x v="2"/>
    <s v="NO-DISCOUNT"/>
    <x v="0"/>
    <n v="693.41"/>
    <n v="2080.23"/>
  </r>
  <r>
    <s v="ORD200355"/>
    <x v="305"/>
    <s v="C18353"/>
    <x v="2"/>
    <n v="3"/>
    <n v="433.33"/>
    <s v="677 Main St"/>
    <x v="2"/>
    <x v="1"/>
    <s v="TRK78766533"/>
    <n v="4"/>
    <x v="1"/>
    <s v="FREESHIP"/>
    <x v="1"/>
    <n v="1299.99"/>
    <n v="433.33"/>
  </r>
  <r>
    <s v="ORD200356"/>
    <x v="306"/>
    <s v="C26966"/>
    <x v="4"/>
    <n v="5"/>
    <n v="374.58"/>
    <s v="907 Main St"/>
    <x v="3"/>
    <x v="1"/>
    <s v="TRK83889574"/>
    <n v="10"/>
    <x v="4"/>
    <s v="FREESHIP"/>
    <x v="0"/>
    <n v="1872.9"/>
    <n v="1872.8999999999999"/>
  </r>
  <r>
    <s v="ORD200357"/>
    <x v="307"/>
    <s v="C74982"/>
    <x v="5"/>
    <n v="5"/>
    <n v="408.56"/>
    <s v="398 Main St"/>
    <x v="0"/>
    <x v="3"/>
    <s v="TRK98700702"/>
    <n v="8"/>
    <x v="2"/>
    <s v="FREESHIP"/>
    <x v="0"/>
    <n v="2042.8"/>
    <n v="1225.68"/>
  </r>
  <r>
    <s v="ORD200358"/>
    <x v="158"/>
    <s v="C70633"/>
    <x v="2"/>
    <n v="2"/>
    <n v="183.67"/>
    <s v="747 Main St"/>
    <x v="1"/>
    <x v="1"/>
    <s v="TRK82540521"/>
    <n v="3"/>
    <x v="1"/>
    <s v="SAVE10"/>
    <x v="4"/>
    <n v="367.34"/>
    <n v="183.67"/>
  </r>
  <r>
    <s v="ORD200359"/>
    <x v="308"/>
    <s v="C95643"/>
    <x v="6"/>
    <n v="4"/>
    <n v="606.57000000000005"/>
    <s v="303 Main St"/>
    <x v="0"/>
    <x v="3"/>
    <s v="TRK23286689"/>
    <n v="5"/>
    <x v="1"/>
    <s v="WINTER15"/>
    <x v="1"/>
    <n v="2426.2800000000002"/>
    <n v="606.57000000000005"/>
  </r>
  <r>
    <s v="ORD200360"/>
    <x v="309"/>
    <s v="C53810"/>
    <x v="1"/>
    <n v="4"/>
    <n v="589.57000000000005"/>
    <s v="779 Main St"/>
    <x v="4"/>
    <x v="4"/>
    <s v="TRK34630612"/>
    <n v="8"/>
    <x v="3"/>
    <s v="NO-DISCOUNT"/>
    <x v="0"/>
    <n v="2358.2800000000002"/>
    <n v="2358.2800000000002"/>
  </r>
  <r>
    <s v="ORD200361"/>
    <x v="310"/>
    <s v="C53464"/>
    <x v="4"/>
    <n v="5"/>
    <n v="659.85"/>
    <s v="197 Main St"/>
    <x v="2"/>
    <x v="3"/>
    <s v="TRK32743531"/>
    <n v="9"/>
    <x v="3"/>
    <s v="SAVE10"/>
    <x v="3"/>
    <n v="3299.25"/>
    <n v="2639.4"/>
  </r>
  <r>
    <s v="ORD200362"/>
    <x v="78"/>
    <s v="C53697"/>
    <x v="0"/>
    <n v="4"/>
    <n v="206.84"/>
    <s v="312 Main St"/>
    <x v="4"/>
    <x v="1"/>
    <s v="TRK60476656"/>
    <n v="5"/>
    <x v="1"/>
    <s v="WINTER15"/>
    <x v="0"/>
    <n v="827.36"/>
    <n v="206.84"/>
  </r>
  <r>
    <s v="ORD200363"/>
    <x v="75"/>
    <s v="C31668"/>
    <x v="5"/>
    <n v="5"/>
    <n v="113.87"/>
    <s v="871 Main St"/>
    <x v="2"/>
    <x v="4"/>
    <s v="TRK42584392"/>
    <n v="6"/>
    <x v="1"/>
    <s v="SAVE10"/>
    <x v="2"/>
    <n v="569.35"/>
    <n v="113.87"/>
  </r>
  <r>
    <s v="ORD200364"/>
    <x v="254"/>
    <s v="C85282"/>
    <x v="1"/>
    <n v="5"/>
    <n v="628.74"/>
    <s v="740 Main St"/>
    <x v="4"/>
    <x v="1"/>
    <s v="TRK86767206"/>
    <n v="9"/>
    <x v="3"/>
    <s v="FREESHIP"/>
    <x v="3"/>
    <n v="3143.7"/>
    <n v="2514.96"/>
  </r>
  <r>
    <s v="ORD200365"/>
    <x v="311"/>
    <s v="C56796"/>
    <x v="1"/>
    <n v="1"/>
    <n v="678.38"/>
    <s v="607 Main St"/>
    <x v="2"/>
    <x v="1"/>
    <s v="TRK74263180"/>
    <n v="4"/>
    <x v="2"/>
    <s v="SAVE10"/>
    <x v="1"/>
    <n v="678.38"/>
    <n v="2035.1399999999999"/>
  </r>
  <r>
    <s v="ORD200366"/>
    <x v="312"/>
    <s v="C95213"/>
    <x v="4"/>
    <n v="3"/>
    <n v="602.24"/>
    <s v="603 Main St"/>
    <x v="0"/>
    <x v="4"/>
    <s v="TRK40630538"/>
    <n v="8"/>
    <x v="4"/>
    <s v="NO-DISCOUNT"/>
    <x v="1"/>
    <n v="1806.72"/>
    <n v="3011.2"/>
  </r>
  <r>
    <s v="ORD200367"/>
    <x v="313"/>
    <s v="C13108"/>
    <x v="5"/>
    <n v="5"/>
    <n v="658.77"/>
    <s v="712 Main St"/>
    <x v="3"/>
    <x v="4"/>
    <s v="TRK82284400"/>
    <n v="10"/>
    <x v="4"/>
    <s v="FREESHIP"/>
    <x v="0"/>
    <n v="3293.85"/>
    <n v="3293.85"/>
  </r>
  <r>
    <s v="ORD200368"/>
    <x v="31"/>
    <s v="C85322"/>
    <x v="0"/>
    <n v="3"/>
    <n v="271.02"/>
    <s v="403 Main St"/>
    <x v="2"/>
    <x v="1"/>
    <s v="TRK89728869"/>
    <n v="6"/>
    <x v="2"/>
    <s v="NO-DISCOUNT"/>
    <x v="4"/>
    <n v="813.06"/>
    <n v="813.06"/>
  </r>
  <r>
    <s v="ORD200369"/>
    <x v="70"/>
    <s v="C43545"/>
    <x v="0"/>
    <n v="5"/>
    <n v="375.25"/>
    <s v="216 Main St"/>
    <x v="3"/>
    <x v="4"/>
    <s v="TRK73937402"/>
    <n v="9"/>
    <x v="3"/>
    <s v="SAVE10"/>
    <x v="2"/>
    <n v="1876.25"/>
    <n v="1501"/>
  </r>
  <r>
    <s v="ORD200370"/>
    <x v="120"/>
    <s v="C80649"/>
    <x v="1"/>
    <n v="1"/>
    <n v="312.11"/>
    <s v="870 Main St"/>
    <x v="1"/>
    <x v="1"/>
    <s v="TRK41143313"/>
    <n v="4"/>
    <x v="2"/>
    <s v="WINTER15"/>
    <x v="3"/>
    <n v="312.11"/>
    <n v="936.33"/>
  </r>
  <r>
    <s v="ORD200371"/>
    <x v="314"/>
    <s v="C59752"/>
    <x v="1"/>
    <n v="5"/>
    <n v="307.76"/>
    <s v="179 Main St"/>
    <x v="3"/>
    <x v="4"/>
    <s v="TRK82229639"/>
    <n v="9"/>
    <x v="3"/>
    <s v="FREESHIP"/>
    <x v="4"/>
    <n v="1538.8"/>
    <n v="1231.04"/>
  </r>
  <r>
    <s v="ORD200372"/>
    <x v="311"/>
    <s v="C53645"/>
    <x v="3"/>
    <n v="3"/>
    <n v="483.53"/>
    <s v="166 Main St"/>
    <x v="4"/>
    <x v="2"/>
    <s v="TRK12123939"/>
    <n v="4"/>
    <x v="1"/>
    <s v="NO-DISCOUNT"/>
    <x v="1"/>
    <n v="1450.59"/>
    <n v="483.53"/>
  </r>
  <r>
    <s v="ORD200373"/>
    <x v="315"/>
    <s v="C60178"/>
    <x v="5"/>
    <n v="3"/>
    <n v="341.15"/>
    <s v="969 Main St"/>
    <x v="4"/>
    <x v="4"/>
    <s v="TRK84505143"/>
    <n v="4"/>
    <x v="1"/>
    <s v="FREESHIP"/>
    <x v="0"/>
    <n v="1023.45"/>
    <n v="341.15"/>
  </r>
  <r>
    <s v="ORD200374"/>
    <x v="316"/>
    <s v="C20286"/>
    <x v="0"/>
    <n v="1"/>
    <n v="571.9"/>
    <s v="129 Main St"/>
    <x v="3"/>
    <x v="4"/>
    <s v="TRK67648338"/>
    <n v="1"/>
    <x v="5"/>
    <s v="WINTER15"/>
    <x v="0"/>
    <n v="571.9"/>
    <n v="0"/>
  </r>
  <r>
    <s v="ORD200375"/>
    <x v="317"/>
    <s v="C87547"/>
    <x v="0"/>
    <n v="4"/>
    <n v="95.03"/>
    <s v="400 Main St"/>
    <x v="1"/>
    <x v="0"/>
    <s v="TRK71027262"/>
    <n v="8"/>
    <x v="3"/>
    <s v="FREESHIP"/>
    <x v="3"/>
    <n v="380.12"/>
    <n v="380.12"/>
  </r>
  <r>
    <s v="ORD200376"/>
    <x v="318"/>
    <s v="C64549"/>
    <x v="0"/>
    <n v="5"/>
    <n v="201.22"/>
    <s v="341 Main St"/>
    <x v="0"/>
    <x v="4"/>
    <s v="TRK20788231"/>
    <n v="6"/>
    <x v="1"/>
    <s v="FREESHIP"/>
    <x v="3"/>
    <n v="1006.1"/>
    <n v="201.22"/>
  </r>
  <r>
    <s v="ORD200377"/>
    <x v="319"/>
    <s v="C24884"/>
    <x v="0"/>
    <n v="1"/>
    <n v="260.26"/>
    <s v="625 Main St"/>
    <x v="1"/>
    <x v="4"/>
    <s v="TRK44538419"/>
    <n v="5"/>
    <x v="3"/>
    <s v="WINTER15"/>
    <x v="0"/>
    <n v="260.26"/>
    <n v="1041.04"/>
  </r>
  <r>
    <s v="ORD200378"/>
    <x v="320"/>
    <s v="C62666"/>
    <x v="3"/>
    <n v="5"/>
    <n v="64.5"/>
    <s v="148 Main St"/>
    <x v="2"/>
    <x v="4"/>
    <s v="TRK91029390"/>
    <n v="8"/>
    <x v="2"/>
    <s v="WINTER15"/>
    <x v="0"/>
    <n v="322.5"/>
    <n v="193.5"/>
  </r>
  <r>
    <s v="ORD200379"/>
    <x v="321"/>
    <s v="C47284"/>
    <x v="1"/>
    <n v="3"/>
    <n v="297.67"/>
    <s v="500 Main St"/>
    <x v="1"/>
    <x v="0"/>
    <s v="TRK85756094"/>
    <n v="6"/>
    <x v="2"/>
    <s v="NO-DISCOUNT"/>
    <x v="4"/>
    <n v="893.01"/>
    <n v="893.01"/>
  </r>
  <r>
    <s v="ORD200380"/>
    <x v="322"/>
    <s v="C35355"/>
    <x v="4"/>
    <n v="4"/>
    <n v="331.9"/>
    <s v="127 Main St"/>
    <x v="4"/>
    <x v="4"/>
    <s v="TRK52935059"/>
    <n v="5"/>
    <x v="1"/>
    <s v="SAVE10"/>
    <x v="0"/>
    <n v="1327.6"/>
    <n v="331.9"/>
  </r>
  <r>
    <s v="ORD200381"/>
    <x v="323"/>
    <s v="C29467"/>
    <x v="3"/>
    <n v="1"/>
    <n v="191.76"/>
    <s v="223 Main St"/>
    <x v="2"/>
    <x v="2"/>
    <s v="TRK98103385"/>
    <n v="1"/>
    <x v="5"/>
    <s v="FREESHIP"/>
    <x v="0"/>
    <n v="191.76"/>
    <n v="0"/>
  </r>
  <r>
    <s v="ORD200382"/>
    <x v="324"/>
    <s v="C26718"/>
    <x v="4"/>
    <n v="4"/>
    <n v="263.08999999999997"/>
    <s v="272 Main St"/>
    <x v="0"/>
    <x v="0"/>
    <s v="TRK91702525"/>
    <n v="8"/>
    <x v="3"/>
    <s v="SAVE10"/>
    <x v="4"/>
    <n v="1052.3599999999999"/>
    <n v="1052.3599999999999"/>
  </r>
  <r>
    <s v="ORD200383"/>
    <x v="325"/>
    <s v="C18944"/>
    <x v="3"/>
    <n v="4"/>
    <n v="393.8"/>
    <s v="837 Main St"/>
    <x v="2"/>
    <x v="4"/>
    <s v="TRK45275439"/>
    <n v="7"/>
    <x v="2"/>
    <s v="SAVE10"/>
    <x v="2"/>
    <n v="1575.2"/>
    <n v="1181.4000000000001"/>
  </r>
  <r>
    <s v="ORD200384"/>
    <x v="167"/>
    <s v="C35628"/>
    <x v="3"/>
    <n v="3"/>
    <n v="553.57000000000005"/>
    <s v="147 Main St"/>
    <x v="2"/>
    <x v="2"/>
    <s v="TRK45688220"/>
    <n v="4"/>
    <x v="1"/>
    <s v="FREESHIP"/>
    <x v="3"/>
    <n v="1660.71"/>
    <n v="553.57000000000005"/>
  </r>
  <r>
    <s v="ORD200385"/>
    <x v="150"/>
    <s v="C56851"/>
    <x v="3"/>
    <n v="5"/>
    <n v="191.63"/>
    <s v="752 Main St"/>
    <x v="3"/>
    <x v="3"/>
    <s v="TRK65290904"/>
    <n v="6"/>
    <x v="1"/>
    <s v="FREESHIP"/>
    <x v="3"/>
    <n v="958.15"/>
    <n v="191.63"/>
  </r>
  <r>
    <s v="ORD200386"/>
    <x v="200"/>
    <s v="C12421"/>
    <x v="2"/>
    <n v="1"/>
    <n v="93.02"/>
    <s v="373 Main St"/>
    <x v="1"/>
    <x v="2"/>
    <s v="TRK32588504"/>
    <n v="4"/>
    <x v="2"/>
    <s v="NO-DISCOUNT"/>
    <x v="2"/>
    <n v="93.02"/>
    <n v="279.06"/>
  </r>
  <r>
    <s v="ORD200387"/>
    <x v="326"/>
    <s v="C25316"/>
    <x v="4"/>
    <n v="2"/>
    <n v="39.53"/>
    <s v="904 Main St"/>
    <x v="2"/>
    <x v="0"/>
    <s v="TRK55423551"/>
    <n v="3"/>
    <x v="1"/>
    <s v="WINTER15"/>
    <x v="4"/>
    <n v="79.06"/>
    <n v="39.53"/>
  </r>
  <r>
    <s v="ORD200388"/>
    <x v="153"/>
    <s v="C22657"/>
    <x v="4"/>
    <n v="3"/>
    <n v="633.97"/>
    <s v="152 Main St"/>
    <x v="4"/>
    <x v="4"/>
    <s v="TRK49157047"/>
    <n v="7"/>
    <x v="3"/>
    <s v="WINTER15"/>
    <x v="3"/>
    <n v="1901.91"/>
    <n v="2535.88"/>
  </r>
  <r>
    <s v="ORD200389"/>
    <x v="327"/>
    <s v="C29703"/>
    <x v="6"/>
    <n v="4"/>
    <n v="697.5"/>
    <s v="558 Main St"/>
    <x v="4"/>
    <x v="0"/>
    <s v="TRK40543461"/>
    <n v="7"/>
    <x v="2"/>
    <s v="FREESHIP"/>
    <x v="1"/>
    <n v="2790"/>
    <n v="2092.5"/>
  </r>
  <r>
    <s v="ORD200390"/>
    <x v="328"/>
    <s v="C55996"/>
    <x v="4"/>
    <n v="5"/>
    <n v="508.69"/>
    <s v="885 Main St"/>
    <x v="4"/>
    <x v="3"/>
    <s v="TRK30547638"/>
    <n v="10"/>
    <x v="4"/>
    <s v="FREESHIP"/>
    <x v="4"/>
    <n v="2543.4499999999998"/>
    <n v="2543.4499999999998"/>
  </r>
  <r>
    <s v="ORD200391"/>
    <x v="317"/>
    <s v="C60037"/>
    <x v="5"/>
    <n v="2"/>
    <n v="527.46"/>
    <s v="516 Main St"/>
    <x v="0"/>
    <x v="1"/>
    <s v="TRK82009557"/>
    <n v="3"/>
    <x v="1"/>
    <s v="FREESHIP"/>
    <x v="1"/>
    <n v="1054.92"/>
    <n v="527.46"/>
  </r>
  <r>
    <s v="ORD200392"/>
    <x v="329"/>
    <s v="C95100"/>
    <x v="1"/>
    <n v="1"/>
    <n v="627.20000000000005"/>
    <s v="197 Main St"/>
    <x v="1"/>
    <x v="3"/>
    <s v="TRK47366265"/>
    <n v="1"/>
    <x v="5"/>
    <s v="WINTER15"/>
    <x v="2"/>
    <n v="627.20000000000005"/>
    <n v="0"/>
  </r>
  <r>
    <s v="ORD200393"/>
    <x v="330"/>
    <s v="C39906"/>
    <x v="4"/>
    <n v="1"/>
    <n v="75.010000000000005"/>
    <s v="921 Main St"/>
    <x v="2"/>
    <x v="2"/>
    <s v="TRK24632134"/>
    <n v="3"/>
    <x v="0"/>
    <s v="NO-DISCOUNT"/>
    <x v="4"/>
    <n v="75.010000000000005"/>
    <n v="150.02000000000001"/>
  </r>
  <r>
    <s v="ORD200394"/>
    <x v="176"/>
    <s v="C70148"/>
    <x v="6"/>
    <n v="5"/>
    <n v="529.54999999999995"/>
    <s v="359 Main St"/>
    <x v="3"/>
    <x v="0"/>
    <s v="TRK34848650"/>
    <n v="10"/>
    <x v="4"/>
    <s v="NO-DISCOUNT"/>
    <x v="3"/>
    <n v="2647.75"/>
    <n v="2647.75"/>
  </r>
  <r>
    <s v="ORD200395"/>
    <x v="331"/>
    <s v="C30010"/>
    <x v="1"/>
    <n v="3"/>
    <n v="127.41"/>
    <s v="830 Main St"/>
    <x v="3"/>
    <x v="3"/>
    <s v="TRK35386084"/>
    <n v="7"/>
    <x v="3"/>
    <s v="SAVE10"/>
    <x v="1"/>
    <n v="382.23"/>
    <n v="509.64"/>
  </r>
  <r>
    <s v="ORD200396"/>
    <x v="142"/>
    <s v="C99217"/>
    <x v="2"/>
    <n v="5"/>
    <n v="287.13"/>
    <s v="778 Main St"/>
    <x v="1"/>
    <x v="0"/>
    <s v="TRK82004594"/>
    <n v="10"/>
    <x v="4"/>
    <s v="SAVE10"/>
    <x v="2"/>
    <n v="1435.65"/>
    <n v="1435.65"/>
  </r>
  <r>
    <s v="ORD200397"/>
    <x v="332"/>
    <s v="C30184"/>
    <x v="0"/>
    <n v="1"/>
    <n v="427.06"/>
    <s v="987 Main St"/>
    <x v="1"/>
    <x v="1"/>
    <s v="TRK86674704"/>
    <n v="1"/>
    <x v="5"/>
    <s v="WINTER15"/>
    <x v="1"/>
    <n v="427.06"/>
    <n v="0"/>
  </r>
  <r>
    <s v="ORD200398"/>
    <x v="333"/>
    <s v="C50275"/>
    <x v="1"/>
    <n v="5"/>
    <n v="53.93"/>
    <s v="729 Main St"/>
    <x v="3"/>
    <x v="0"/>
    <s v="TRK98925264"/>
    <n v="7"/>
    <x v="0"/>
    <s v="SAVE10"/>
    <x v="0"/>
    <n v="269.64999999999998"/>
    <n v="107.86"/>
  </r>
  <r>
    <s v="ORD200399"/>
    <x v="334"/>
    <s v="C64641"/>
    <x v="2"/>
    <n v="5"/>
    <n v="423.93"/>
    <s v="319 Main St"/>
    <x v="0"/>
    <x v="2"/>
    <s v="TRK32012588"/>
    <n v="5"/>
    <x v="5"/>
    <s v="FREESHIP"/>
    <x v="3"/>
    <n v="2119.65"/>
    <n v="0"/>
  </r>
  <r>
    <s v="ORD200400"/>
    <x v="335"/>
    <s v="C56266"/>
    <x v="6"/>
    <n v="4"/>
    <n v="160.22"/>
    <s v="304 Main St"/>
    <x v="0"/>
    <x v="2"/>
    <s v="TRK60088901"/>
    <n v="9"/>
    <x v="4"/>
    <s v="WINTER15"/>
    <x v="0"/>
    <n v="640.88"/>
    <n v="801.1"/>
  </r>
  <r>
    <s v="ORD200401"/>
    <x v="23"/>
    <s v="C98635"/>
    <x v="4"/>
    <n v="1"/>
    <n v="538.67999999999995"/>
    <s v="197 Main St"/>
    <x v="0"/>
    <x v="2"/>
    <s v="TRK14225465"/>
    <n v="6"/>
    <x v="4"/>
    <s v="NO-DISCOUNT"/>
    <x v="1"/>
    <n v="538.67999999999995"/>
    <n v="2693.3999999999996"/>
  </r>
  <r>
    <s v="ORD200402"/>
    <x v="336"/>
    <s v="C83026"/>
    <x v="4"/>
    <n v="5"/>
    <n v="337.38"/>
    <s v="858 Main St"/>
    <x v="3"/>
    <x v="0"/>
    <s v="TRK79746259"/>
    <n v="5"/>
    <x v="5"/>
    <s v="NO-DISCOUNT"/>
    <x v="1"/>
    <n v="1686.9"/>
    <n v="0"/>
  </r>
  <r>
    <s v="ORD200403"/>
    <x v="337"/>
    <s v="C28893"/>
    <x v="2"/>
    <n v="1"/>
    <n v="620.21"/>
    <s v="740 Main St"/>
    <x v="1"/>
    <x v="2"/>
    <s v="TRK98333066"/>
    <n v="1"/>
    <x v="5"/>
    <s v="FREESHIP"/>
    <x v="1"/>
    <n v="620.21"/>
    <n v="0"/>
  </r>
  <r>
    <s v="ORD200404"/>
    <x v="338"/>
    <s v="C45482"/>
    <x v="0"/>
    <n v="2"/>
    <n v="99.1"/>
    <s v="440 Main St"/>
    <x v="4"/>
    <x v="3"/>
    <s v="TRK54571699"/>
    <n v="6"/>
    <x v="3"/>
    <s v="NO-DISCOUNT"/>
    <x v="0"/>
    <n v="198.2"/>
    <n v="396.4"/>
  </r>
  <r>
    <s v="ORD200405"/>
    <x v="281"/>
    <s v="C97774"/>
    <x v="0"/>
    <n v="4"/>
    <n v="451.97"/>
    <s v="603 Main St"/>
    <x v="1"/>
    <x v="1"/>
    <s v="TRK64664424"/>
    <n v="7"/>
    <x v="2"/>
    <s v="WINTER15"/>
    <x v="2"/>
    <n v="1807.88"/>
    <n v="1355.91"/>
  </r>
  <r>
    <s v="ORD200406"/>
    <x v="339"/>
    <s v="C11657"/>
    <x v="2"/>
    <n v="4"/>
    <n v="66.099999999999994"/>
    <s v="572 Main St"/>
    <x v="4"/>
    <x v="2"/>
    <s v="TRK50284486"/>
    <n v="9"/>
    <x v="4"/>
    <s v="WINTER15"/>
    <x v="4"/>
    <n v="264.39999999999998"/>
    <n v="330.5"/>
  </r>
  <r>
    <s v="ORD200407"/>
    <x v="340"/>
    <s v="C85993"/>
    <x v="2"/>
    <n v="4"/>
    <n v="547.32000000000005"/>
    <s v="250 Main St"/>
    <x v="4"/>
    <x v="2"/>
    <s v="TRK72547640"/>
    <n v="8"/>
    <x v="3"/>
    <s v="FREESHIP"/>
    <x v="0"/>
    <n v="2189.2800000000002"/>
    <n v="2189.2800000000002"/>
  </r>
  <r>
    <s v="ORD200408"/>
    <x v="341"/>
    <s v="C11906"/>
    <x v="4"/>
    <n v="3"/>
    <n v="412.53"/>
    <s v="536 Main St"/>
    <x v="1"/>
    <x v="4"/>
    <s v="TRK31140158"/>
    <n v="6"/>
    <x v="2"/>
    <s v="WINTER15"/>
    <x v="4"/>
    <n v="1237.5899999999999"/>
    <n v="1237.5899999999999"/>
  </r>
  <r>
    <s v="ORD200409"/>
    <x v="342"/>
    <s v="C45187"/>
    <x v="6"/>
    <n v="5"/>
    <n v="84.13"/>
    <s v="767 Main St"/>
    <x v="1"/>
    <x v="3"/>
    <s v="TRK12320793"/>
    <n v="9"/>
    <x v="3"/>
    <s v="SAVE10"/>
    <x v="4"/>
    <n v="420.65"/>
    <n v="336.52"/>
  </r>
  <r>
    <s v="ORD200410"/>
    <x v="343"/>
    <s v="C37375"/>
    <x v="2"/>
    <n v="2"/>
    <n v="518.23"/>
    <s v="184 Main St"/>
    <x v="0"/>
    <x v="0"/>
    <s v="TRK52470162"/>
    <n v="5"/>
    <x v="2"/>
    <s v="NO-DISCOUNT"/>
    <x v="2"/>
    <n v="1036.46"/>
    <n v="1554.69"/>
  </r>
  <r>
    <s v="ORD200411"/>
    <x v="83"/>
    <s v="C66567"/>
    <x v="6"/>
    <n v="2"/>
    <n v="39.51"/>
    <s v="981 Main St"/>
    <x v="1"/>
    <x v="0"/>
    <s v="TRK21174822"/>
    <n v="5"/>
    <x v="2"/>
    <s v="NO-DISCOUNT"/>
    <x v="3"/>
    <n v="79.02"/>
    <n v="118.53"/>
  </r>
  <r>
    <s v="ORD200412"/>
    <x v="344"/>
    <s v="C42451"/>
    <x v="2"/>
    <n v="5"/>
    <n v="133.01"/>
    <s v="246 Main St"/>
    <x v="2"/>
    <x v="2"/>
    <s v="TRK31313343"/>
    <n v="10"/>
    <x v="4"/>
    <s v="NO-DISCOUNT"/>
    <x v="3"/>
    <n v="665.05"/>
    <n v="665.05"/>
  </r>
  <r>
    <s v="ORD200413"/>
    <x v="345"/>
    <s v="C13923"/>
    <x v="2"/>
    <n v="1"/>
    <n v="118.8"/>
    <s v="123 Main St"/>
    <x v="1"/>
    <x v="3"/>
    <s v="TRK87598790"/>
    <n v="6"/>
    <x v="4"/>
    <s v="SAVE10"/>
    <x v="2"/>
    <n v="118.8"/>
    <n v="594"/>
  </r>
  <r>
    <s v="ORD200414"/>
    <x v="346"/>
    <s v="C11829"/>
    <x v="6"/>
    <n v="2"/>
    <n v="139.57"/>
    <s v="797 Main St"/>
    <x v="4"/>
    <x v="3"/>
    <s v="TRK84229257"/>
    <n v="4"/>
    <x v="0"/>
    <s v="WINTER15"/>
    <x v="3"/>
    <n v="279.14"/>
    <n v="279.14"/>
  </r>
  <r>
    <s v="ORD200415"/>
    <x v="161"/>
    <s v="C62169"/>
    <x v="3"/>
    <n v="1"/>
    <n v="184.15"/>
    <s v="655 Main St"/>
    <x v="3"/>
    <x v="0"/>
    <s v="TRK64558985"/>
    <n v="5"/>
    <x v="3"/>
    <s v="FREESHIP"/>
    <x v="3"/>
    <n v="184.15"/>
    <n v="736.6"/>
  </r>
  <r>
    <s v="ORD200416"/>
    <x v="202"/>
    <s v="C20881"/>
    <x v="5"/>
    <n v="2"/>
    <n v="644.04999999999995"/>
    <s v="652 Main St"/>
    <x v="3"/>
    <x v="1"/>
    <s v="TRK26263902"/>
    <n v="5"/>
    <x v="2"/>
    <s v="WINTER15"/>
    <x v="1"/>
    <n v="1288.0999999999999"/>
    <n v="1932.1499999999999"/>
  </r>
  <r>
    <s v="ORD200417"/>
    <x v="347"/>
    <s v="C44492"/>
    <x v="5"/>
    <n v="5"/>
    <n v="55.41"/>
    <s v="954 Main St"/>
    <x v="1"/>
    <x v="1"/>
    <s v="TRK51429869"/>
    <n v="5"/>
    <x v="5"/>
    <s v="NO-DISCOUNT"/>
    <x v="4"/>
    <n v="277.05"/>
    <n v="0"/>
  </r>
  <r>
    <s v="ORD200418"/>
    <x v="348"/>
    <s v="C74169"/>
    <x v="4"/>
    <n v="1"/>
    <n v="310.93"/>
    <s v="862 Main St"/>
    <x v="1"/>
    <x v="1"/>
    <s v="TRK66144809"/>
    <n v="3"/>
    <x v="0"/>
    <s v="NO-DISCOUNT"/>
    <x v="3"/>
    <n v="310.93"/>
    <n v="621.86"/>
  </r>
  <r>
    <s v="ORD200419"/>
    <x v="349"/>
    <s v="C70999"/>
    <x v="2"/>
    <n v="2"/>
    <n v="216.66"/>
    <s v="885 Main St"/>
    <x v="0"/>
    <x v="4"/>
    <s v="TRK75644156"/>
    <n v="6"/>
    <x v="3"/>
    <s v="FREESHIP"/>
    <x v="0"/>
    <n v="433.32"/>
    <n v="866.64"/>
  </r>
  <r>
    <s v="ORD200420"/>
    <x v="350"/>
    <s v="C11921"/>
    <x v="1"/>
    <n v="1"/>
    <n v="452.7"/>
    <s v="439 Main St"/>
    <x v="0"/>
    <x v="0"/>
    <s v="TRK91362635"/>
    <n v="5"/>
    <x v="3"/>
    <s v="FREESHIP"/>
    <x v="0"/>
    <n v="452.7"/>
    <n v="1810.8"/>
  </r>
  <r>
    <s v="ORD200421"/>
    <x v="3"/>
    <s v="C50683"/>
    <x v="3"/>
    <n v="2"/>
    <n v="288.20999999999998"/>
    <s v="769 Main St"/>
    <x v="0"/>
    <x v="1"/>
    <s v="TRK53032122"/>
    <n v="5"/>
    <x v="2"/>
    <s v="NO-DISCOUNT"/>
    <x v="2"/>
    <n v="576.41999999999996"/>
    <n v="864.62999999999988"/>
  </r>
  <r>
    <s v="ORD200422"/>
    <x v="32"/>
    <s v="C76140"/>
    <x v="1"/>
    <n v="4"/>
    <n v="206.6"/>
    <s v="914 Main St"/>
    <x v="3"/>
    <x v="2"/>
    <s v="TRK25861469"/>
    <n v="6"/>
    <x v="0"/>
    <s v="WINTER15"/>
    <x v="1"/>
    <n v="826.4"/>
    <n v="413.2"/>
  </r>
  <r>
    <s v="ORD200423"/>
    <x v="351"/>
    <s v="C94311"/>
    <x v="4"/>
    <n v="4"/>
    <n v="685.2"/>
    <s v="195 Main St"/>
    <x v="3"/>
    <x v="1"/>
    <s v="TRK97308771"/>
    <n v="6"/>
    <x v="0"/>
    <s v="WINTER15"/>
    <x v="4"/>
    <n v="2740.8"/>
    <n v="1370.4"/>
  </r>
  <r>
    <s v="ORD200424"/>
    <x v="352"/>
    <s v="C49491"/>
    <x v="3"/>
    <n v="5"/>
    <n v="22.94"/>
    <s v="339 Main St"/>
    <x v="4"/>
    <x v="4"/>
    <s v="TRK64012257"/>
    <n v="10"/>
    <x v="4"/>
    <s v="NO-DISCOUNT"/>
    <x v="2"/>
    <n v="114.7"/>
    <n v="114.7"/>
  </r>
  <r>
    <s v="ORD200425"/>
    <x v="338"/>
    <s v="C40648"/>
    <x v="5"/>
    <n v="2"/>
    <n v="301.88"/>
    <s v="488 Main St"/>
    <x v="3"/>
    <x v="2"/>
    <s v="TRK25325993"/>
    <n v="5"/>
    <x v="2"/>
    <s v="WINTER15"/>
    <x v="2"/>
    <n v="603.76"/>
    <n v="905.64"/>
  </r>
  <r>
    <s v="ORD200426"/>
    <x v="353"/>
    <s v="C40967"/>
    <x v="0"/>
    <n v="5"/>
    <n v="57.45"/>
    <s v="315 Main St"/>
    <x v="4"/>
    <x v="1"/>
    <s v="TRK24839296"/>
    <n v="10"/>
    <x v="4"/>
    <s v="NO-DISCOUNT"/>
    <x v="3"/>
    <n v="287.25"/>
    <n v="287.25"/>
  </r>
  <r>
    <s v="ORD200427"/>
    <x v="144"/>
    <s v="C25406"/>
    <x v="6"/>
    <n v="1"/>
    <n v="161.24"/>
    <s v="379 Main St"/>
    <x v="2"/>
    <x v="4"/>
    <s v="TRK70952564"/>
    <n v="3"/>
    <x v="0"/>
    <s v="WINTER15"/>
    <x v="0"/>
    <n v="161.24"/>
    <n v="322.48"/>
  </r>
  <r>
    <s v="ORD200428"/>
    <x v="130"/>
    <s v="C77085"/>
    <x v="3"/>
    <n v="4"/>
    <n v="262.58"/>
    <s v="895 Main St"/>
    <x v="1"/>
    <x v="1"/>
    <s v="TRK57227640"/>
    <n v="8"/>
    <x v="3"/>
    <s v="WINTER15"/>
    <x v="2"/>
    <n v="1050.32"/>
    <n v="1050.32"/>
  </r>
  <r>
    <s v="ORD200429"/>
    <x v="36"/>
    <s v="C38126"/>
    <x v="4"/>
    <n v="4"/>
    <n v="515.19000000000005"/>
    <s v="522 Main St"/>
    <x v="2"/>
    <x v="4"/>
    <s v="TRK90838498"/>
    <n v="9"/>
    <x v="4"/>
    <s v="SAVE10"/>
    <x v="3"/>
    <n v="2060.7600000000002"/>
    <n v="2575.9500000000003"/>
  </r>
  <r>
    <s v="ORD200430"/>
    <x v="323"/>
    <s v="C87448"/>
    <x v="1"/>
    <n v="1"/>
    <n v="450.07"/>
    <s v="433 Main St"/>
    <x v="3"/>
    <x v="0"/>
    <s v="TRK44134016"/>
    <n v="6"/>
    <x v="4"/>
    <s v="FREESHIP"/>
    <x v="4"/>
    <n v="450.07"/>
    <n v="2250.35"/>
  </r>
  <r>
    <s v="ORD200431"/>
    <x v="354"/>
    <s v="C62312"/>
    <x v="4"/>
    <n v="1"/>
    <n v="52.54"/>
    <s v="651 Main St"/>
    <x v="0"/>
    <x v="1"/>
    <s v="TRK59623037"/>
    <n v="6"/>
    <x v="4"/>
    <s v="WINTER15"/>
    <x v="3"/>
    <n v="52.54"/>
    <n v="262.7"/>
  </r>
  <r>
    <s v="ORD200432"/>
    <x v="355"/>
    <s v="C58443"/>
    <x v="2"/>
    <n v="2"/>
    <n v="424.32"/>
    <s v="662 Main St"/>
    <x v="2"/>
    <x v="2"/>
    <s v="TRK77163738"/>
    <n v="6"/>
    <x v="3"/>
    <s v="NO-DISCOUNT"/>
    <x v="1"/>
    <n v="848.64"/>
    <n v="1697.28"/>
  </r>
  <r>
    <s v="ORD200433"/>
    <x v="46"/>
    <s v="C36613"/>
    <x v="0"/>
    <n v="3"/>
    <n v="631.64"/>
    <s v="785 Main St"/>
    <x v="2"/>
    <x v="2"/>
    <s v="TRK13282106"/>
    <n v="3"/>
    <x v="5"/>
    <s v="FREESHIP"/>
    <x v="3"/>
    <n v="1894.92"/>
    <n v="0"/>
  </r>
  <r>
    <s v="ORD200434"/>
    <x v="356"/>
    <s v="C73893"/>
    <x v="4"/>
    <n v="5"/>
    <n v="327.68"/>
    <s v="384 Main St"/>
    <x v="2"/>
    <x v="2"/>
    <s v="TRK85939879"/>
    <n v="6"/>
    <x v="1"/>
    <s v="NO-DISCOUNT"/>
    <x v="3"/>
    <n v="1638.4"/>
    <n v="327.68"/>
  </r>
  <r>
    <s v="ORD200435"/>
    <x v="156"/>
    <s v="C48601"/>
    <x v="4"/>
    <n v="1"/>
    <n v="414.47"/>
    <s v="101 Main St"/>
    <x v="0"/>
    <x v="2"/>
    <s v="TRK97868309"/>
    <n v="3"/>
    <x v="0"/>
    <s v="FREESHIP"/>
    <x v="0"/>
    <n v="414.47"/>
    <n v="828.94"/>
  </r>
  <r>
    <s v="ORD200436"/>
    <x v="91"/>
    <s v="C14568"/>
    <x v="5"/>
    <n v="4"/>
    <n v="221.33"/>
    <s v="651 Main St"/>
    <x v="1"/>
    <x v="4"/>
    <s v="TRK73545796"/>
    <n v="5"/>
    <x v="1"/>
    <s v="NO-DISCOUNT"/>
    <x v="4"/>
    <n v="885.32"/>
    <n v="221.33"/>
  </r>
  <r>
    <s v="ORD200437"/>
    <x v="171"/>
    <s v="C63378"/>
    <x v="1"/>
    <n v="1"/>
    <n v="512.39"/>
    <s v="955 Main St"/>
    <x v="1"/>
    <x v="3"/>
    <s v="TRK20863705"/>
    <n v="2"/>
    <x v="1"/>
    <s v="FREESHIP"/>
    <x v="0"/>
    <n v="512.39"/>
    <n v="512.39"/>
  </r>
  <r>
    <s v="ORD200438"/>
    <x v="195"/>
    <s v="C77800"/>
    <x v="2"/>
    <n v="3"/>
    <n v="459.34"/>
    <s v="436 Main St"/>
    <x v="3"/>
    <x v="4"/>
    <s v="TRK27439574"/>
    <n v="3"/>
    <x v="5"/>
    <s v="SAVE10"/>
    <x v="0"/>
    <n v="1378.02"/>
    <n v="0"/>
  </r>
  <r>
    <s v="ORD200439"/>
    <x v="50"/>
    <s v="C91155"/>
    <x v="2"/>
    <n v="1"/>
    <n v="146.32"/>
    <s v="321 Main St"/>
    <x v="1"/>
    <x v="0"/>
    <s v="TRK36260319"/>
    <n v="4"/>
    <x v="2"/>
    <s v="WINTER15"/>
    <x v="3"/>
    <n v="146.32"/>
    <n v="438.96"/>
  </r>
  <r>
    <s v="ORD200440"/>
    <x v="357"/>
    <s v="C60215"/>
    <x v="6"/>
    <n v="4"/>
    <n v="83.6"/>
    <s v="978 Main St"/>
    <x v="0"/>
    <x v="4"/>
    <s v="TRK31727767"/>
    <n v="4"/>
    <x v="5"/>
    <s v="SAVE10"/>
    <x v="3"/>
    <n v="334.4"/>
    <n v="0"/>
  </r>
  <r>
    <s v="ORD200441"/>
    <x v="141"/>
    <s v="C52915"/>
    <x v="4"/>
    <n v="2"/>
    <n v="328.54"/>
    <s v="475 Main St"/>
    <x v="3"/>
    <x v="2"/>
    <s v="TRK79466982"/>
    <n v="6"/>
    <x v="3"/>
    <s v="FREESHIP"/>
    <x v="2"/>
    <n v="657.08"/>
    <n v="1314.16"/>
  </r>
  <r>
    <s v="ORD200442"/>
    <x v="40"/>
    <s v="C72588"/>
    <x v="3"/>
    <n v="5"/>
    <n v="314.94"/>
    <s v="661 Main St"/>
    <x v="4"/>
    <x v="4"/>
    <s v="TRK43410829"/>
    <n v="8"/>
    <x v="2"/>
    <s v="SAVE10"/>
    <x v="0"/>
    <n v="1574.7"/>
    <n v="944.81999999999994"/>
  </r>
  <r>
    <s v="ORD200443"/>
    <x v="358"/>
    <s v="C61668"/>
    <x v="3"/>
    <n v="2"/>
    <n v="69.64"/>
    <s v="813 Main St"/>
    <x v="4"/>
    <x v="2"/>
    <s v="TRK58970302"/>
    <n v="6"/>
    <x v="3"/>
    <s v="NO-DISCOUNT"/>
    <x v="3"/>
    <n v="139.28"/>
    <n v="278.56"/>
  </r>
  <r>
    <s v="ORD200444"/>
    <x v="180"/>
    <s v="C79508"/>
    <x v="4"/>
    <n v="1"/>
    <n v="135.16999999999999"/>
    <s v="585 Main St"/>
    <x v="1"/>
    <x v="0"/>
    <s v="TRK61882353"/>
    <n v="6"/>
    <x v="4"/>
    <s v="FREESHIP"/>
    <x v="0"/>
    <n v="135.16999999999999"/>
    <n v="675.84999999999991"/>
  </r>
  <r>
    <s v="ORD200445"/>
    <x v="230"/>
    <s v="C94569"/>
    <x v="1"/>
    <n v="1"/>
    <n v="487.21"/>
    <s v="227 Main St"/>
    <x v="4"/>
    <x v="3"/>
    <s v="TRK31351770"/>
    <n v="3"/>
    <x v="0"/>
    <s v="SAVE10"/>
    <x v="1"/>
    <n v="487.21"/>
    <n v="974.42"/>
  </r>
  <r>
    <s v="ORD200446"/>
    <x v="359"/>
    <s v="C89592"/>
    <x v="5"/>
    <n v="5"/>
    <n v="509.58"/>
    <s v="262 Main St"/>
    <x v="1"/>
    <x v="3"/>
    <s v="TRK49442402"/>
    <n v="6"/>
    <x v="1"/>
    <s v="FREESHIP"/>
    <x v="0"/>
    <n v="2547.9"/>
    <n v="509.58"/>
  </r>
  <r>
    <s v="ORD200447"/>
    <x v="158"/>
    <s v="C48207"/>
    <x v="4"/>
    <n v="2"/>
    <n v="416.81"/>
    <s v="356 Main St"/>
    <x v="4"/>
    <x v="2"/>
    <s v="TRK45355655"/>
    <n v="2"/>
    <x v="5"/>
    <s v="NO-DISCOUNT"/>
    <x v="3"/>
    <n v="833.62"/>
    <n v="0"/>
  </r>
  <r>
    <s v="ORD200448"/>
    <x v="355"/>
    <s v="C16776"/>
    <x v="5"/>
    <n v="2"/>
    <n v="160"/>
    <s v="854 Main St"/>
    <x v="4"/>
    <x v="4"/>
    <s v="TRK12860600"/>
    <n v="4"/>
    <x v="0"/>
    <s v="SAVE10"/>
    <x v="0"/>
    <n v="320"/>
    <n v="320"/>
  </r>
  <r>
    <s v="ORD200449"/>
    <x v="360"/>
    <s v="C91518"/>
    <x v="2"/>
    <n v="3"/>
    <n v="253.05"/>
    <s v="286 Main St"/>
    <x v="1"/>
    <x v="4"/>
    <s v="TRK48688724"/>
    <n v="3"/>
    <x v="5"/>
    <s v="NO-DISCOUNT"/>
    <x v="0"/>
    <n v="759.15000000000009"/>
    <n v="0"/>
  </r>
  <r>
    <s v="ORD200450"/>
    <x v="361"/>
    <s v="C36408"/>
    <x v="0"/>
    <n v="5"/>
    <n v="615.1"/>
    <s v="160 Main St"/>
    <x v="3"/>
    <x v="2"/>
    <s v="TRK94023253"/>
    <n v="10"/>
    <x v="4"/>
    <s v="WINTER15"/>
    <x v="0"/>
    <n v="3075.5"/>
    <n v="3075.5"/>
  </r>
  <r>
    <s v="ORD200451"/>
    <x v="362"/>
    <s v="C14837"/>
    <x v="0"/>
    <n v="1"/>
    <n v="183.18"/>
    <s v="647 Main St"/>
    <x v="0"/>
    <x v="1"/>
    <s v="TRK17501136"/>
    <n v="6"/>
    <x v="4"/>
    <s v="SAVE10"/>
    <x v="2"/>
    <n v="183.18"/>
    <n v="915.90000000000009"/>
  </r>
  <r>
    <s v="ORD200452"/>
    <x v="363"/>
    <s v="C36467"/>
    <x v="4"/>
    <n v="1"/>
    <n v="75.78"/>
    <s v="581 Main St"/>
    <x v="4"/>
    <x v="4"/>
    <s v="TRK20863987"/>
    <n v="5"/>
    <x v="3"/>
    <s v="SAVE10"/>
    <x v="4"/>
    <n v="75.78"/>
    <n v="303.12"/>
  </r>
  <r>
    <s v="ORD200453"/>
    <x v="201"/>
    <s v="C15017"/>
    <x v="2"/>
    <n v="1"/>
    <n v="675.57"/>
    <s v="492 Main St"/>
    <x v="4"/>
    <x v="0"/>
    <s v="TRK51241924"/>
    <n v="1"/>
    <x v="5"/>
    <s v="WINTER15"/>
    <x v="3"/>
    <n v="675.57"/>
    <n v="0"/>
  </r>
  <r>
    <s v="ORD200454"/>
    <x v="364"/>
    <s v="C54759"/>
    <x v="5"/>
    <n v="1"/>
    <n v="109.29"/>
    <s v="686 Main St"/>
    <x v="0"/>
    <x v="1"/>
    <s v="TRK75583042"/>
    <n v="5"/>
    <x v="3"/>
    <s v="FREESHIP"/>
    <x v="4"/>
    <n v="109.29"/>
    <n v="437.16"/>
  </r>
  <r>
    <s v="ORD200455"/>
    <x v="290"/>
    <s v="C58341"/>
    <x v="1"/>
    <n v="1"/>
    <n v="639.83000000000004"/>
    <s v="874 Main St"/>
    <x v="0"/>
    <x v="4"/>
    <s v="TRK32856728"/>
    <n v="2"/>
    <x v="1"/>
    <s v="SAVE10"/>
    <x v="1"/>
    <n v="639.83000000000004"/>
    <n v="639.83000000000004"/>
  </r>
  <r>
    <s v="ORD200456"/>
    <x v="365"/>
    <s v="C94479"/>
    <x v="6"/>
    <n v="5"/>
    <n v="62.81"/>
    <s v="259 Main St"/>
    <x v="2"/>
    <x v="0"/>
    <s v="TRK69089975"/>
    <n v="9"/>
    <x v="3"/>
    <s v="SAVE10"/>
    <x v="3"/>
    <n v="314.05"/>
    <n v="251.24"/>
  </r>
  <r>
    <s v="ORD200457"/>
    <x v="366"/>
    <s v="C50236"/>
    <x v="6"/>
    <n v="4"/>
    <n v="615.83000000000004"/>
    <s v="545 Main St"/>
    <x v="1"/>
    <x v="2"/>
    <s v="TRK67692578"/>
    <n v="4"/>
    <x v="5"/>
    <s v="WINTER15"/>
    <x v="0"/>
    <n v="2463.3200000000002"/>
    <n v="0"/>
  </r>
  <r>
    <s v="ORD200458"/>
    <x v="367"/>
    <s v="C31412"/>
    <x v="0"/>
    <n v="4"/>
    <n v="510.58"/>
    <s v="196 Main St"/>
    <x v="2"/>
    <x v="2"/>
    <s v="TRK61946127"/>
    <n v="7"/>
    <x v="2"/>
    <s v="WINTER15"/>
    <x v="2"/>
    <n v="2042.32"/>
    <n v="1531.74"/>
  </r>
  <r>
    <s v="ORD200459"/>
    <x v="25"/>
    <s v="C90142"/>
    <x v="6"/>
    <n v="1"/>
    <n v="334.39"/>
    <s v="433 Main St"/>
    <x v="2"/>
    <x v="2"/>
    <s v="TRK39717191"/>
    <n v="2"/>
    <x v="1"/>
    <s v="NO-DISCOUNT"/>
    <x v="0"/>
    <n v="334.39"/>
    <n v="334.39"/>
  </r>
  <r>
    <s v="ORD200460"/>
    <x v="354"/>
    <s v="C83548"/>
    <x v="5"/>
    <n v="1"/>
    <n v="144.25"/>
    <s v="474 Main St"/>
    <x v="4"/>
    <x v="2"/>
    <s v="TRK93822942"/>
    <n v="2"/>
    <x v="1"/>
    <s v="WINTER15"/>
    <x v="1"/>
    <n v="144.25"/>
    <n v="144.25"/>
  </r>
  <r>
    <s v="ORD200461"/>
    <x v="180"/>
    <s v="C29697"/>
    <x v="2"/>
    <n v="1"/>
    <n v="401.82"/>
    <s v="407 Main St"/>
    <x v="2"/>
    <x v="0"/>
    <s v="TRK47776482"/>
    <n v="5"/>
    <x v="3"/>
    <s v="FREESHIP"/>
    <x v="4"/>
    <n v="401.82"/>
    <n v="1607.28"/>
  </r>
  <r>
    <s v="ORD200462"/>
    <x v="368"/>
    <s v="C22991"/>
    <x v="1"/>
    <n v="1"/>
    <n v="252.68"/>
    <s v="731 Main St"/>
    <x v="1"/>
    <x v="1"/>
    <s v="TRK32796086"/>
    <n v="1"/>
    <x v="5"/>
    <s v="NO-DISCOUNT"/>
    <x v="1"/>
    <n v="252.68"/>
    <n v="0"/>
  </r>
  <r>
    <s v="ORD200463"/>
    <x v="68"/>
    <s v="C25276"/>
    <x v="5"/>
    <n v="5"/>
    <n v="662.78"/>
    <s v="214 Main St"/>
    <x v="0"/>
    <x v="0"/>
    <s v="TRK14011732"/>
    <n v="9"/>
    <x v="3"/>
    <s v="SAVE10"/>
    <x v="0"/>
    <n v="3313.9"/>
    <n v="2651.12"/>
  </r>
  <r>
    <s v="ORD200464"/>
    <x v="369"/>
    <s v="C39176"/>
    <x v="2"/>
    <n v="4"/>
    <n v="434.42"/>
    <s v="739 Main St"/>
    <x v="1"/>
    <x v="1"/>
    <s v="TRK71418686"/>
    <n v="6"/>
    <x v="0"/>
    <s v="FREESHIP"/>
    <x v="4"/>
    <n v="1737.68"/>
    <n v="868.84"/>
  </r>
  <r>
    <s v="ORD200465"/>
    <x v="235"/>
    <s v="C58773"/>
    <x v="4"/>
    <n v="5"/>
    <n v="513.49"/>
    <s v="391 Main St"/>
    <x v="3"/>
    <x v="1"/>
    <s v="TRK65438300"/>
    <n v="8"/>
    <x v="2"/>
    <s v="NO-DISCOUNT"/>
    <x v="4"/>
    <n v="2567.4499999999998"/>
    <n v="1540.47"/>
  </r>
  <r>
    <s v="ORD200466"/>
    <x v="202"/>
    <s v="C37412"/>
    <x v="1"/>
    <n v="1"/>
    <n v="432.47"/>
    <s v="895 Main St"/>
    <x v="4"/>
    <x v="3"/>
    <s v="TRK97829604"/>
    <n v="4"/>
    <x v="2"/>
    <s v="FREESHIP"/>
    <x v="1"/>
    <n v="432.47"/>
    <n v="1297.4100000000001"/>
  </r>
  <r>
    <s v="ORD200467"/>
    <x v="225"/>
    <s v="C36492"/>
    <x v="6"/>
    <n v="1"/>
    <n v="45.94"/>
    <s v="572 Main St"/>
    <x v="4"/>
    <x v="1"/>
    <s v="TRK44350440"/>
    <n v="2"/>
    <x v="1"/>
    <s v="WINTER15"/>
    <x v="2"/>
    <n v="45.94"/>
    <n v="45.94"/>
  </r>
  <r>
    <s v="ORD200468"/>
    <x v="370"/>
    <s v="C90110"/>
    <x v="1"/>
    <n v="1"/>
    <n v="418.36"/>
    <s v="998 Main St"/>
    <x v="2"/>
    <x v="3"/>
    <s v="TRK60203957"/>
    <n v="5"/>
    <x v="3"/>
    <s v="FREESHIP"/>
    <x v="2"/>
    <n v="418.36"/>
    <n v="1673.44"/>
  </r>
  <r>
    <s v="ORD200469"/>
    <x v="371"/>
    <s v="C13877"/>
    <x v="3"/>
    <n v="5"/>
    <n v="676.98"/>
    <s v="893 Main St"/>
    <x v="4"/>
    <x v="1"/>
    <s v="TRK17254691"/>
    <n v="5"/>
    <x v="5"/>
    <s v="NO-DISCOUNT"/>
    <x v="3"/>
    <n v="3384.9"/>
    <n v="0"/>
  </r>
  <r>
    <s v="ORD200470"/>
    <x v="372"/>
    <s v="C25149"/>
    <x v="2"/>
    <n v="4"/>
    <n v="263.62"/>
    <s v="672 Main St"/>
    <x v="4"/>
    <x v="0"/>
    <s v="TRK33538608"/>
    <n v="5"/>
    <x v="1"/>
    <s v="SAVE10"/>
    <x v="2"/>
    <n v="1054.48"/>
    <n v="263.62"/>
  </r>
  <r>
    <s v="ORD200471"/>
    <x v="373"/>
    <s v="C52717"/>
    <x v="6"/>
    <n v="5"/>
    <n v="551.27"/>
    <s v="395 Main St"/>
    <x v="1"/>
    <x v="1"/>
    <s v="TRK27625571"/>
    <n v="7"/>
    <x v="0"/>
    <s v="FREESHIP"/>
    <x v="1"/>
    <n v="2756.35"/>
    <n v="1102.54"/>
  </r>
  <r>
    <s v="ORD200472"/>
    <x v="374"/>
    <s v="C60029"/>
    <x v="3"/>
    <n v="3"/>
    <n v="508.12"/>
    <s v="796 Main St"/>
    <x v="2"/>
    <x v="1"/>
    <s v="TRK86461316"/>
    <n v="8"/>
    <x v="4"/>
    <s v="FREESHIP"/>
    <x v="1"/>
    <n v="1524.36"/>
    <n v="2540.6"/>
  </r>
  <r>
    <s v="ORD200473"/>
    <x v="86"/>
    <s v="C28552"/>
    <x v="3"/>
    <n v="2"/>
    <n v="14.93"/>
    <s v="449 Main St"/>
    <x v="1"/>
    <x v="0"/>
    <s v="TRK71597160"/>
    <n v="4"/>
    <x v="0"/>
    <s v="NO-DISCOUNT"/>
    <x v="3"/>
    <n v="29.86"/>
    <n v="29.86"/>
  </r>
  <r>
    <s v="ORD200474"/>
    <x v="375"/>
    <s v="C72293"/>
    <x v="4"/>
    <n v="3"/>
    <n v="229.34"/>
    <s v="398 Main St"/>
    <x v="2"/>
    <x v="0"/>
    <s v="TRK84378003"/>
    <n v="6"/>
    <x v="2"/>
    <s v="SAVE10"/>
    <x v="1"/>
    <n v="688.02"/>
    <n v="688.02"/>
  </r>
  <r>
    <s v="ORD200475"/>
    <x v="373"/>
    <s v="C29844"/>
    <x v="2"/>
    <n v="2"/>
    <n v="438.62"/>
    <s v="363 Main St"/>
    <x v="4"/>
    <x v="1"/>
    <s v="TRK91642337"/>
    <n v="3"/>
    <x v="1"/>
    <s v="SAVE10"/>
    <x v="3"/>
    <n v="877.24"/>
    <n v="438.62"/>
  </r>
  <r>
    <s v="ORD200476"/>
    <x v="361"/>
    <s v="C77872"/>
    <x v="1"/>
    <n v="2"/>
    <n v="513.59"/>
    <s v="867 Main St"/>
    <x v="1"/>
    <x v="2"/>
    <s v="TRK19292184"/>
    <n v="4"/>
    <x v="0"/>
    <s v="FREESHIP"/>
    <x v="1"/>
    <n v="1027.18"/>
    <n v="1027.18"/>
  </r>
  <r>
    <s v="ORD200477"/>
    <x v="376"/>
    <s v="C56564"/>
    <x v="1"/>
    <n v="2"/>
    <n v="253.74"/>
    <s v="481 Main St"/>
    <x v="1"/>
    <x v="0"/>
    <s v="TRK13166044"/>
    <n v="5"/>
    <x v="2"/>
    <s v="SAVE10"/>
    <x v="4"/>
    <n v="507.48"/>
    <n v="761.22"/>
  </r>
  <r>
    <s v="ORD200478"/>
    <x v="377"/>
    <s v="C16758"/>
    <x v="2"/>
    <n v="3"/>
    <n v="62.77"/>
    <s v="914 Main St"/>
    <x v="3"/>
    <x v="0"/>
    <s v="TRK88544431"/>
    <n v="6"/>
    <x v="2"/>
    <s v="FREESHIP"/>
    <x v="1"/>
    <n v="188.31"/>
    <n v="188.31"/>
  </r>
  <r>
    <s v="ORD200479"/>
    <x v="378"/>
    <s v="C87011"/>
    <x v="0"/>
    <n v="4"/>
    <n v="25.29"/>
    <s v="943 Main St"/>
    <x v="2"/>
    <x v="4"/>
    <s v="TRK21429162"/>
    <n v="8"/>
    <x v="3"/>
    <s v="NO-DISCOUNT"/>
    <x v="4"/>
    <n v="101.16"/>
    <n v="101.16"/>
  </r>
  <r>
    <s v="ORD200480"/>
    <x v="379"/>
    <s v="C21147"/>
    <x v="3"/>
    <n v="1"/>
    <n v="335.1"/>
    <s v="126 Main St"/>
    <x v="0"/>
    <x v="4"/>
    <s v="TRK93171043"/>
    <n v="6"/>
    <x v="4"/>
    <s v="FREESHIP"/>
    <x v="1"/>
    <n v="335.1"/>
    <n v="1675.5"/>
  </r>
  <r>
    <s v="ORD200481"/>
    <x v="295"/>
    <s v="C94568"/>
    <x v="5"/>
    <n v="4"/>
    <n v="484.85"/>
    <s v="317 Main St"/>
    <x v="0"/>
    <x v="3"/>
    <s v="TRK58653915"/>
    <n v="5"/>
    <x v="1"/>
    <s v="WINTER15"/>
    <x v="1"/>
    <n v="1939.4"/>
    <n v="484.85"/>
  </r>
  <r>
    <s v="ORD200482"/>
    <x v="380"/>
    <s v="C35852"/>
    <x v="0"/>
    <n v="3"/>
    <n v="381.41"/>
    <s v="989 Main St"/>
    <x v="1"/>
    <x v="4"/>
    <s v="TRK22302049"/>
    <n v="6"/>
    <x v="2"/>
    <s v="NO-DISCOUNT"/>
    <x v="0"/>
    <n v="1144.23"/>
    <n v="1144.23"/>
  </r>
  <r>
    <s v="ORD200483"/>
    <x v="381"/>
    <s v="C66462"/>
    <x v="1"/>
    <n v="5"/>
    <n v="347.92"/>
    <s v="982 Main St"/>
    <x v="4"/>
    <x v="4"/>
    <s v="TRK52743700"/>
    <n v="6"/>
    <x v="1"/>
    <s v="WINTER15"/>
    <x v="4"/>
    <n v="1739.6"/>
    <n v="347.92"/>
  </r>
  <r>
    <s v="ORD200484"/>
    <x v="382"/>
    <s v="C29092"/>
    <x v="3"/>
    <n v="4"/>
    <n v="15.01"/>
    <s v="767 Main St"/>
    <x v="4"/>
    <x v="1"/>
    <s v="TRK90455340"/>
    <n v="6"/>
    <x v="0"/>
    <s v="NO-DISCOUNT"/>
    <x v="3"/>
    <n v="60.04"/>
    <n v="30.02"/>
  </r>
  <r>
    <s v="ORD200485"/>
    <x v="383"/>
    <s v="C46651"/>
    <x v="3"/>
    <n v="3"/>
    <n v="404.79"/>
    <s v="764 Main St"/>
    <x v="4"/>
    <x v="0"/>
    <s v="TRK67679195"/>
    <n v="6"/>
    <x v="2"/>
    <s v="SAVE10"/>
    <x v="0"/>
    <n v="1214.3699999999999"/>
    <n v="1214.3700000000001"/>
  </r>
  <r>
    <s v="ORD200486"/>
    <x v="384"/>
    <s v="C88981"/>
    <x v="4"/>
    <n v="4"/>
    <n v="611.26"/>
    <s v="558 Main St"/>
    <x v="4"/>
    <x v="0"/>
    <s v="TRK75267873"/>
    <n v="5"/>
    <x v="1"/>
    <s v="SAVE10"/>
    <x v="1"/>
    <n v="2445.04"/>
    <n v="611.26"/>
  </r>
  <r>
    <s v="ORD200487"/>
    <x v="338"/>
    <s v="C40136"/>
    <x v="4"/>
    <n v="3"/>
    <n v="346.52"/>
    <s v="211 Main St"/>
    <x v="2"/>
    <x v="4"/>
    <s v="TRK92924852"/>
    <n v="3"/>
    <x v="5"/>
    <s v="SAVE10"/>
    <x v="4"/>
    <n v="1039.56"/>
    <n v="0"/>
  </r>
  <r>
    <s v="ORD200488"/>
    <x v="194"/>
    <s v="C81573"/>
    <x v="3"/>
    <n v="1"/>
    <n v="36.65"/>
    <s v="556 Main St"/>
    <x v="1"/>
    <x v="1"/>
    <s v="TRK96522994"/>
    <n v="1"/>
    <x v="5"/>
    <s v="WINTER15"/>
    <x v="2"/>
    <n v="36.65"/>
    <n v="0"/>
  </r>
  <r>
    <s v="ORD200489"/>
    <x v="189"/>
    <s v="C11940"/>
    <x v="2"/>
    <n v="3"/>
    <n v="149.34"/>
    <s v="589 Main St"/>
    <x v="3"/>
    <x v="1"/>
    <s v="TRK85466461"/>
    <n v="7"/>
    <x v="3"/>
    <s v="WINTER15"/>
    <x v="2"/>
    <n v="448.02"/>
    <n v="597.36"/>
  </r>
  <r>
    <s v="ORD200490"/>
    <x v="319"/>
    <s v="C50097"/>
    <x v="3"/>
    <n v="5"/>
    <n v="467.81"/>
    <s v="539 Main St"/>
    <x v="1"/>
    <x v="1"/>
    <s v="TRK62785150"/>
    <n v="10"/>
    <x v="4"/>
    <s v="NO-DISCOUNT"/>
    <x v="3"/>
    <n v="2339.0500000000002"/>
    <n v="2339.0500000000002"/>
  </r>
  <r>
    <s v="ORD200491"/>
    <x v="314"/>
    <s v="C98168"/>
    <x v="1"/>
    <n v="5"/>
    <n v="420.7"/>
    <s v="481 Main St"/>
    <x v="4"/>
    <x v="4"/>
    <s v="TRK56423359"/>
    <n v="5"/>
    <x v="5"/>
    <s v="WINTER15"/>
    <x v="3"/>
    <n v="2103.5"/>
    <n v="0"/>
  </r>
  <r>
    <s v="ORD200492"/>
    <x v="385"/>
    <s v="C39074"/>
    <x v="5"/>
    <n v="5"/>
    <n v="606.52"/>
    <s v="103 Main St"/>
    <x v="0"/>
    <x v="0"/>
    <s v="TRK13027036"/>
    <n v="6"/>
    <x v="1"/>
    <s v="SAVE10"/>
    <x v="0"/>
    <n v="3032.6"/>
    <n v="606.52"/>
  </r>
  <r>
    <s v="ORD200493"/>
    <x v="386"/>
    <s v="C84908"/>
    <x v="1"/>
    <n v="1"/>
    <n v="420.26"/>
    <s v="372 Main St"/>
    <x v="2"/>
    <x v="4"/>
    <s v="TRK64135970"/>
    <n v="4"/>
    <x v="2"/>
    <s v="FREESHIP"/>
    <x v="3"/>
    <n v="420.26"/>
    <n v="1260.78"/>
  </r>
  <r>
    <s v="ORD200494"/>
    <x v="45"/>
    <s v="C64516"/>
    <x v="5"/>
    <n v="3"/>
    <n v="505.79"/>
    <s v="459 Main St"/>
    <x v="0"/>
    <x v="4"/>
    <s v="TRK63920573"/>
    <n v="3"/>
    <x v="5"/>
    <s v="FREESHIP"/>
    <x v="1"/>
    <n v="1517.37"/>
    <n v="0"/>
  </r>
  <r>
    <s v="ORD200495"/>
    <x v="85"/>
    <s v="C63827"/>
    <x v="1"/>
    <n v="4"/>
    <n v="493.73"/>
    <s v="947 Main St"/>
    <x v="0"/>
    <x v="4"/>
    <s v="TRK35730581"/>
    <n v="6"/>
    <x v="0"/>
    <s v="SAVE10"/>
    <x v="3"/>
    <n v="1974.92"/>
    <n v="987.46"/>
  </r>
  <r>
    <s v="ORD200496"/>
    <x v="387"/>
    <s v="C93618"/>
    <x v="4"/>
    <n v="3"/>
    <n v="201.21"/>
    <s v="249 Main St"/>
    <x v="1"/>
    <x v="1"/>
    <s v="TRK66129326"/>
    <n v="3"/>
    <x v="5"/>
    <s v="SAVE10"/>
    <x v="4"/>
    <n v="603.63"/>
    <n v="0"/>
  </r>
  <r>
    <s v="ORD200497"/>
    <x v="101"/>
    <s v="C93948"/>
    <x v="4"/>
    <n v="3"/>
    <n v="112.29"/>
    <s v="454 Main St"/>
    <x v="3"/>
    <x v="0"/>
    <s v="TRK77358113"/>
    <n v="6"/>
    <x v="2"/>
    <s v="NO-DISCOUNT"/>
    <x v="4"/>
    <n v="336.87"/>
    <n v="336.87"/>
  </r>
  <r>
    <s v="ORD200498"/>
    <x v="219"/>
    <s v="C73961"/>
    <x v="2"/>
    <n v="4"/>
    <n v="132.56"/>
    <s v="306 Main St"/>
    <x v="4"/>
    <x v="2"/>
    <s v="TRK32607173"/>
    <n v="8"/>
    <x v="3"/>
    <s v="WINTER15"/>
    <x v="0"/>
    <n v="530.24"/>
    <n v="530.24"/>
  </r>
  <r>
    <s v="ORD200499"/>
    <x v="388"/>
    <s v="C18138"/>
    <x v="4"/>
    <n v="3"/>
    <n v="539.46"/>
    <s v="520 Main St"/>
    <x v="2"/>
    <x v="0"/>
    <s v="TRK20289483"/>
    <n v="4"/>
    <x v="1"/>
    <s v="SAVE10"/>
    <x v="3"/>
    <n v="1618.38"/>
    <n v="539.46"/>
  </r>
  <r>
    <s v="ORD200500"/>
    <x v="158"/>
    <s v="C79475"/>
    <x v="5"/>
    <n v="5"/>
    <n v="508.59"/>
    <s v="169 Main St"/>
    <x v="4"/>
    <x v="2"/>
    <s v="TRK42168516"/>
    <n v="8"/>
    <x v="2"/>
    <s v="WINTER15"/>
    <x v="3"/>
    <n v="2542.9499999999998"/>
    <n v="1525.77"/>
  </r>
  <r>
    <s v="ORD200501"/>
    <x v="389"/>
    <s v="C88546"/>
    <x v="6"/>
    <n v="4"/>
    <n v="203.46"/>
    <s v="226 Main St"/>
    <x v="2"/>
    <x v="4"/>
    <s v="TRK19867754"/>
    <n v="7"/>
    <x v="2"/>
    <s v="SAVE10"/>
    <x v="1"/>
    <n v="813.84"/>
    <n v="610.38"/>
  </r>
  <r>
    <s v="ORD200502"/>
    <x v="390"/>
    <s v="C69332"/>
    <x v="0"/>
    <n v="3"/>
    <n v="565.25"/>
    <s v="745 Main St"/>
    <x v="0"/>
    <x v="2"/>
    <s v="TRK65718848"/>
    <n v="7"/>
    <x v="3"/>
    <s v="SAVE10"/>
    <x v="2"/>
    <n v="1695.75"/>
    <n v="2261"/>
  </r>
  <r>
    <s v="ORD200503"/>
    <x v="303"/>
    <s v="C64554"/>
    <x v="2"/>
    <n v="3"/>
    <n v="136.84"/>
    <s v="498 Main St"/>
    <x v="1"/>
    <x v="4"/>
    <s v="TRK95384568"/>
    <n v="4"/>
    <x v="1"/>
    <s v="FREESHIP"/>
    <x v="3"/>
    <n v="410.52"/>
    <n v="136.84"/>
  </r>
  <r>
    <s v="ORD200504"/>
    <x v="113"/>
    <s v="C11676"/>
    <x v="0"/>
    <n v="2"/>
    <n v="464.5"/>
    <s v="805 Main St"/>
    <x v="1"/>
    <x v="1"/>
    <s v="TRK35726395"/>
    <n v="2"/>
    <x v="5"/>
    <s v="WINTER15"/>
    <x v="0"/>
    <n v="929"/>
    <n v="0"/>
  </r>
  <r>
    <s v="ORD200505"/>
    <x v="236"/>
    <s v="C36014"/>
    <x v="4"/>
    <n v="2"/>
    <n v="434.97"/>
    <s v="558 Main St"/>
    <x v="1"/>
    <x v="0"/>
    <s v="TRK97246526"/>
    <n v="7"/>
    <x v="4"/>
    <s v="NO-DISCOUNT"/>
    <x v="2"/>
    <n v="869.94"/>
    <n v="2174.8500000000004"/>
  </r>
  <r>
    <s v="ORD200506"/>
    <x v="284"/>
    <s v="C23279"/>
    <x v="0"/>
    <n v="2"/>
    <n v="43.67"/>
    <s v="696 Main St"/>
    <x v="4"/>
    <x v="2"/>
    <s v="TRK58039693"/>
    <n v="4"/>
    <x v="0"/>
    <s v="WINTER15"/>
    <x v="0"/>
    <n v="87.34"/>
    <n v="87.34"/>
  </r>
  <r>
    <s v="ORD200507"/>
    <x v="176"/>
    <s v="C86481"/>
    <x v="1"/>
    <n v="1"/>
    <n v="171.59"/>
    <s v="546 Main St"/>
    <x v="2"/>
    <x v="4"/>
    <s v="TRK87513944"/>
    <n v="5"/>
    <x v="3"/>
    <s v="WINTER15"/>
    <x v="2"/>
    <n v="171.59"/>
    <n v="686.36"/>
  </r>
  <r>
    <s v="ORD200508"/>
    <x v="391"/>
    <s v="C39550"/>
    <x v="1"/>
    <n v="1"/>
    <n v="558.27"/>
    <s v="976 Main St"/>
    <x v="1"/>
    <x v="3"/>
    <s v="TRK24120267"/>
    <n v="1"/>
    <x v="5"/>
    <s v="NO-DISCOUNT"/>
    <x v="1"/>
    <n v="558.27"/>
    <n v="0"/>
  </r>
  <r>
    <s v="ORD200509"/>
    <x v="392"/>
    <s v="C68937"/>
    <x v="5"/>
    <n v="2"/>
    <n v="425.03"/>
    <s v="560 Main St"/>
    <x v="4"/>
    <x v="2"/>
    <s v="TRK31908657"/>
    <n v="2"/>
    <x v="5"/>
    <s v="WINTER15"/>
    <x v="4"/>
    <n v="850.06"/>
    <n v="0"/>
  </r>
  <r>
    <s v="ORD200510"/>
    <x v="393"/>
    <s v="C72533"/>
    <x v="4"/>
    <n v="1"/>
    <n v="376.76"/>
    <s v="389 Main St"/>
    <x v="0"/>
    <x v="3"/>
    <s v="TRK51288986"/>
    <n v="5"/>
    <x v="3"/>
    <s v="SAVE10"/>
    <x v="2"/>
    <n v="376.76"/>
    <n v="1507.04"/>
  </r>
  <r>
    <s v="ORD200511"/>
    <x v="394"/>
    <s v="C11415"/>
    <x v="0"/>
    <n v="5"/>
    <n v="575.24"/>
    <s v="267 Main St"/>
    <x v="4"/>
    <x v="3"/>
    <s v="TRK65061457"/>
    <n v="7"/>
    <x v="0"/>
    <s v="WINTER15"/>
    <x v="2"/>
    <n v="2876.2"/>
    <n v="1150.48"/>
  </r>
  <r>
    <s v="ORD200512"/>
    <x v="395"/>
    <s v="C14114"/>
    <x v="6"/>
    <n v="3"/>
    <n v="568.02"/>
    <s v="856 Main St"/>
    <x v="1"/>
    <x v="4"/>
    <s v="TRK63290700"/>
    <n v="3"/>
    <x v="5"/>
    <s v="FREESHIP"/>
    <x v="0"/>
    <n v="1704.06"/>
    <n v="0"/>
  </r>
  <r>
    <s v="ORD200513"/>
    <x v="396"/>
    <s v="C64128"/>
    <x v="2"/>
    <n v="3"/>
    <n v="94.88"/>
    <s v="533 Main St"/>
    <x v="3"/>
    <x v="0"/>
    <s v="TRK37053575"/>
    <n v="8"/>
    <x v="4"/>
    <s v="NO-DISCOUNT"/>
    <x v="1"/>
    <n v="284.64"/>
    <n v="474.4"/>
  </r>
  <r>
    <s v="ORD200514"/>
    <x v="397"/>
    <s v="C15629"/>
    <x v="4"/>
    <n v="3"/>
    <n v="304.14999999999998"/>
    <s v="492 Main St"/>
    <x v="3"/>
    <x v="0"/>
    <s v="TRK64926044"/>
    <n v="3"/>
    <x v="5"/>
    <s v="WINTER15"/>
    <x v="0"/>
    <n v="912.44999999999993"/>
    <n v="0"/>
  </r>
  <r>
    <s v="ORD200515"/>
    <x v="369"/>
    <s v="C67561"/>
    <x v="1"/>
    <n v="3"/>
    <n v="553.52"/>
    <s v="160 Main St"/>
    <x v="3"/>
    <x v="0"/>
    <s v="TRK75900717"/>
    <n v="4"/>
    <x v="1"/>
    <s v="FREESHIP"/>
    <x v="3"/>
    <n v="1660.56"/>
    <n v="553.52"/>
  </r>
  <r>
    <s v="ORD200516"/>
    <x v="158"/>
    <s v="C47022"/>
    <x v="0"/>
    <n v="3"/>
    <n v="166.99"/>
    <s v="208 Main St"/>
    <x v="4"/>
    <x v="2"/>
    <s v="TRK28855040"/>
    <n v="8"/>
    <x v="4"/>
    <s v="NO-DISCOUNT"/>
    <x v="3"/>
    <n v="500.97"/>
    <n v="834.95"/>
  </r>
  <r>
    <s v="ORD200517"/>
    <x v="398"/>
    <s v="C55205"/>
    <x v="2"/>
    <n v="4"/>
    <n v="198.35"/>
    <s v="943 Main St"/>
    <x v="4"/>
    <x v="1"/>
    <s v="TRK88141634"/>
    <n v="7"/>
    <x v="2"/>
    <s v="FREESHIP"/>
    <x v="4"/>
    <n v="793.4"/>
    <n v="595.04999999999995"/>
  </r>
  <r>
    <s v="ORD200518"/>
    <x v="399"/>
    <s v="C30686"/>
    <x v="4"/>
    <n v="4"/>
    <n v="403.58"/>
    <s v="319 Main St"/>
    <x v="1"/>
    <x v="4"/>
    <s v="TRK59807273"/>
    <n v="9"/>
    <x v="4"/>
    <s v="SAVE10"/>
    <x v="1"/>
    <n v="1614.32"/>
    <n v="2017.8999999999999"/>
  </r>
  <r>
    <s v="ORD200519"/>
    <x v="400"/>
    <s v="C71797"/>
    <x v="5"/>
    <n v="4"/>
    <n v="464.29"/>
    <s v="941 Main St"/>
    <x v="0"/>
    <x v="2"/>
    <s v="TRK66010667"/>
    <n v="5"/>
    <x v="1"/>
    <s v="SAVE10"/>
    <x v="2"/>
    <n v="1857.16"/>
    <n v="464.29"/>
  </r>
  <r>
    <s v="ORD200520"/>
    <x v="401"/>
    <s v="C66332"/>
    <x v="0"/>
    <n v="3"/>
    <n v="635.98"/>
    <s v="959 Main St"/>
    <x v="4"/>
    <x v="2"/>
    <s v="TRK27063398"/>
    <n v="5"/>
    <x v="0"/>
    <s v="NO-DISCOUNT"/>
    <x v="1"/>
    <n v="1907.94"/>
    <n v="1271.96"/>
  </r>
  <r>
    <s v="ORD200521"/>
    <x v="402"/>
    <s v="C82318"/>
    <x v="1"/>
    <n v="1"/>
    <n v="528.05999999999995"/>
    <s v="991 Main St"/>
    <x v="2"/>
    <x v="0"/>
    <s v="TRK37534165"/>
    <n v="2"/>
    <x v="1"/>
    <s v="NO-DISCOUNT"/>
    <x v="3"/>
    <n v="528.05999999999995"/>
    <n v="528.05999999999995"/>
  </r>
  <r>
    <s v="ORD200522"/>
    <x v="322"/>
    <s v="C66254"/>
    <x v="3"/>
    <n v="1"/>
    <n v="515.32000000000005"/>
    <s v="740 Main St"/>
    <x v="3"/>
    <x v="1"/>
    <s v="TRK82843861"/>
    <n v="1"/>
    <x v="5"/>
    <s v="FREESHIP"/>
    <x v="2"/>
    <n v="515.32000000000005"/>
    <n v="0"/>
  </r>
  <r>
    <s v="ORD200523"/>
    <x v="403"/>
    <s v="C65083"/>
    <x v="6"/>
    <n v="4"/>
    <n v="657.79"/>
    <s v="652 Main St"/>
    <x v="2"/>
    <x v="2"/>
    <s v="TRK60937148"/>
    <n v="6"/>
    <x v="0"/>
    <s v="WINTER15"/>
    <x v="4"/>
    <n v="2631.16"/>
    <n v="1315.58"/>
  </r>
  <r>
    <s v="ORD200524"/>
    <x v="385"/>
    <s v="C44778"/>
    <x v="1"/>
    <n v="1"/>
    <n v="153"/>
    <s v="103 Main St"/>
    <x v="2"/>
    <x v="2"/>
    <s v="TRK92617366"/>
    <n v="4"/>
    <x v="2"/>
    <s v="NO-DISCOUNT"/>
    <x v="1"/>
    <n v="153"/>
    <n v="459"/>
  </r>
  <r>
    <s v="ORD200525"/>
    <x v="404"/>
    <s v="C54499"/>
    <x v="0"/>
    <n v="1"/>
    <n v="668.48"/>
    <s v="160 Main St"/>
    <x v="0"/>
    <x v="0"/>
    <s v="TRK18061555"/>
    <n v="1"/>
    <x v="5"/>
    <s v="SAVE10"/>
    <x v="2"/>
    <n v="668.48"/>
    <n v="0"/>
  </r>
  <r>
    <s v="ORD200526"/>
    <x v="405"/>
    <s v="C91201"/>
    <x v="6"/>
    <n v="2"/>
    <n v="46.5"/>
    <s v="837 Main St"/>
    <x v="4"/>
    <x v="2"/>
    <s v="TRK63526023"/>
    <n v="7"/>
    <x v="4"/>
    <s v="WINTER15"/>
    <x v="4"/>
    <n v="93"/>
    <n v="232.5"/>
  </r>
  <r>
    <s v="ORD200527"/>
    <x v="406"/>
    <s v="C27202"/>
    <x v="3"/>
    <n v="5"/>
    <n v="653.47"/>
    <s v="967 Main St"/>
    <x v="2"/>
    <x v="1"/>
    <s v="TRK75406128"/>
    <n v="10"/>
    <x v="4"/>
    <s v="SAVE10"/>
    <x v="1"/>
    <n v="3267.35"/>
    <n v="3267.3500000000004"/>
  </r>
  <r>
    <s v="ORD200528"/>
    <x v="407"/>
    <s v="C32011"/>
    <x v="3"/>
    <n v="1"/>
    <n v="628.89"/>
    <s v="686 Main St"/>
    <x v="2"/>
    <x v="2"/>
    <s v="TRK70997744"/>
    <n v="2"/>
    <x v="1"/>
    <s v="SAVE10"/>
    <x v="1"/>
    <n v="628.89"/>
    <n v="628.89"/>
  </r>
  <r>
    <s v="ORD200529"/>
    <x v="158"/>
    <s v="C21181"/>
    <x v="2"/>
    <n v="2"/>
    <n v="675.1"/>
    <s v="938 Main St"/>
    <x v="4"/>
    <x v="4"/>
    <s v="TRK50363421"/>
    <n v="4"/>
    <x v="0"/>
    <s v="FREESHIP"/>
    <x v="4"/>
    <n v="1350.2"/>
    <n v="1350.2"/>
  </r>
  <r>
    <s v="ORD200530"/>
    <x v="408"/>
    <s v="C98450"/>
    <x v="3"/>
    <n v="4"/>
    <n v="89.41"/>
    <s v="613 Main St"/>
    <x v="1"/>
    <x v="4"/>
    <s v="TRK14809530"/>
    <n v="9"/>
    <x v="4"/>
    <s v="NO-DISCOUNT"/>
    <x v="4"/>
    <n v="357.64"/>
    <n v="447.04999999999995"/>
  </r>
  <r>
    <s v="ORD200531"/>
    <x v="367"/>
    <s v="C64502"/>
    <x v="6"/>
    <n v="5"/>
    <n v="320.01"/>
    <s v="722 Main St"/>
    <x v="3"/>
    <x v="3"/>
    <s v="TRK14914388"/>
    <n v="6"/>
    <x v="1"/>
    <s v="NO-DISCOUNT"/>
    <x v="1"/>
    <n v="1600.05"/>
    <n v="320.01"/>
  </r>
  <r>
    <s v="ORD200532"/>
    <x v="120"/>
    <s v="C47365"/>
    <x v="5"/>
    <n v="2"/>
    <n v="41"/>
    <s v="369 Main St"/>
    <x v="1"/>
    <x v="3"/>
    <s v="TRK42207882"/>
    <n v="7"/>
    <x v="4"/>
    <s v="NO-DISCOUNT"/>
    <x v="2"/>
    <n v="82"/>
    <n v="205"/>
  </r>
  <r>
    <s v="ORD200533"/>
    <x v="409"/>
    <s v="C66349"/>
    <x v="6"/>
    <n v="1"/>
    <n v="565.85"/>
    <s v="715 Main St"/>
    <x v="3"/>
    <x v="2"/>
    <s v="TRK63550793"/>
    <n v="1"/>
    <x v="5"/>
    <s v="FREESHIP"/>
    <x v="3"/>
    <n v="565.85"/>
    <n v="0"/>
  </r>
  <r>
    <s v="ORD200534"/>
    <x v="309"/>
    <s v="C73289"/>
    <x v="3"/>
    <n v="3"/>
    <n v="648.59"/>
    <s v="906 Main St"/>
    <x v="0"/>
    <x v="1"/>
    <s v="TRK70872738"/>
    <n v="4"/>
    <x v="1"/>
    <s v="SAVE10"/>
    <x v="2"/>
    <n v="1945.77"/>
    <n v="648.59"/>
  </r>
  <r>
    <s v="ORD200535"/>
    <x v="25"/>
    <s v="C48649"/>
    <x v="0"/>
    <n v="3"/>
    <n v="68.12"/>
    <s v="332 Main St"/>
    <x v="1"/>
    <x v="1"/>
    <s v="TRK45821445"/>
    <n v="3"/>
    <x v="5"/>
    <s v="FREESHIP"/>
    <x v="2"/>
    <n v="204.36"/>
    <n v="0"/>
  </r>
  <r>
    <s v="ORD200536"/>
    <x v="410"/>
    <s v="C18724"/>
    <x v="3"/>
    <n v="1"/>
    <n v="616.1"/>
    <s v="124 Main St"/>
    <x v="4"/>
    <x v="2"/>
    <s v="TRK52508861"/>
    <n v="6"/>
    <x v="4"/>
    <s v="NO-DISCOUNT"/>
    <x v="2"/>
    <n v="616.1"/>
    <n v="3080.5"/>
  </r>
  <r>
    <s v="ORD200537"/>
    <x v="411"/>
    <s v="C68553"/>
    <x v="2"/>
    <n v="3"/>
    <n v="247.47"/>
    <s v="385 Main St"/>
    <x v="1"/>
    <x v="3"/>
    <s v="TRK58218971"/>
    <n v="4"/>
    <x v="1"/>
    <s v="SAVE10"/>
    <x v="3"/>
    <n v="742.41"/>
    <n v="247.47"/>
  </r>
  <r>
    <s v="ORD200538"/>
    <x v="75"/>
    <s v="C61280"/>
    <x v="1"/>
    <n v="3"/>
    <n v="490.74"/>
    <s v="100 Main St"/>
    <x v="4"/>
    <x v="0"/>
    <s v="TRK95487711"/>
    <n v="3"/>
    <x v="5"/>
    <s v="WINTER15"/>
    <x v="2"/>
    <n v="1472.22"/>
    <n v="0"/>
  </r>
  <r>
    <s v="ORD200539"/>
    <x v="403"/>
    <s v="C53277"/>
    <x v="6"/>
    <n v="3"/>
    <n v="531.72"/>
    <s v="473 Main St"/>
    <x v="3"/>
    <x v="3"/>
    <s v="TRK17653832"/>
    <n v="7"/>
    <x v="3"/>
    <s v="SAVE10"/>
    <x v="4"/>
    <n v="1595.16"/>
    <n v="2126.88"/>
  </r>
  <r>
    <s v="ORD200540"/>
    <x v="412"/>
    <s v="C87281"/>
    <x v="5"/>
    <n v="5"/>
    <n v="648.65"/>
    <s v="852 Main St"/>
    <x v="1"/>
    <x v="4"/>
    <s v="TRK81765057"/>
    <n v="7"/>
    <x v="0"/>
    <s v="NO-DISCOUNT"/>
    <x v="1"/>
    <n v="3243.25"/>
    <n v="1297.3"/>
  </r>
  <r>
    <s v="ORD200541"/>
    <x v="413"/>
    <s v="C69009"/>
    <x v="4"/>
    <n v="5"/>
    <n v="456.06"/>
    <s v="879 Main St"/>
    <x v="4"/>
    <x v="4"/>
    <s v="TRK61295842"/>
    <n v="10"/>
    <x v="4"/>
    <s v="NO-DISCOUNT"/>
    <x v="0"/>
    <n v="2280.3000000000002"/>
    <n v="2280.3000000000002"/>
  </r>
  <r>
    <s v="ORD200542"/>
    <x v="414"/>
    <s v="C49726"/>
    <x v="2"/>
    <n v="1"/>
    <n v="17.98"/>
    <s v="934 Main St"/>
    <x v="4"/>
    <x v="1"/>
    <s v="TRK20739460"/>
    <n v="6"/>
    <x v="4"/>
    <s v="FREESHIP"/>
    <x v="2"/>
    <n v="17.98"/>
    <n v="89.9"/>
  </r>
  <r>
    <s v="ORD200543"/>
    <x v="415"/>
    <s v="C37531"/>
    <x v="6"/>
    <n v="5"/>
    <n v="269.86"/>
    <s v="354 Main St"/>
    <x v="4"/>
    <x v="0"/>
    <s v="TRK93877673"/>
    <n v="6"/>
    <x v="1"/>
    <s v="WINTER15"/>
    <x v="3"/>
    <n v="1349.3"/>
    <n v="269.86"/>
  </r>
  <r>
    <s v="ORD200544"/>
    <x v="416"/>
    <s v="C48713"/>
    <x v="4"/>
    <n v="5"/>
    <n v="31.96"/>
    <s v="373 Main St"/>
    <x v="2"/>
    <x v="2"/>
    <s v="TRK96334419"/>
    <n v="5"/>
    <x v="5"/>
    <s v="FREESHIP"/>
    <x v="1"/>
    <n v="159.80000000000001"/>
    <n v="0"/>
  </r>
  <r>
    <s v="ORD200545"/>
    <x v="263"/>
    <s v="C74138"/>
    <x v="0"/>
    <n v="2"/>
    <n v="98.47"/>
    <s v="964 Main St"/>
    <x v="4"/>
    <x v="2"/>
    <s v="TRK74091695"/>
    <n v="3"/>
    <x v="1"/>
    <s v="NO-DISCOUNT"/>
    <x v="0"/>
    <n v="196.94"/>
    <n v="98.47"/>
  </r>
  <r>
    <s v="ORD200546"/>
    <x v="417"/>
    <s v="C82399"/>
    <x v="0"/>
    <n v="1"/>
    <n v="158.68"/>
    <s v="928 Main St"/>
    <x v="2"/>
    <x v="2"/>
    <s v="TRK77177284"/>
    <n v="6"/>
    <x v="4"/>
    <s v="WINTER15"/>
    <x v="0"/>
    <n v="158.68"/>
    <n v="793.40000000000009"/>
  </r>
  <r>
    <s v="ORD200547"/>
    <x v="38"/>
    <s v="C40427"/>
    <x v="1"/>
    <n v="1"/>
    <n v="613.98"/>
    <s v="411 Main St"/>
    <x v="1"/>
    <x v="3"/>
    <s v="TRK25392280"/>
    <n v="4"/>
    <x v="2"/>
    <s v="FREESHIP"/>
    <x v="3"/>
    <n v="613.98"/>
    <n v="1841.94"/>
  </r>
  <r>
    <s v="ORD200548"/>
    <x v="80"/>
    <s v="C17103"/>
    <x v="4"/>
    <n v="3"/>
    <n v="426.12"/>
    <s v="922 Main St"/>
    <x v="1"/>
    <x v="3"/>
    <s v="TRK64398650"/>
    <n v="5"/>
    <x v="0"/>
    <s v="WINTER15"/>
    <x v="0"/>
    <n v="1278.3599999999999"/>
    <n v="852.24"/>
  </r>
  <r>
    <s v="ORD200549"/>
    <x v="86"/>
    <s v="C34266"/>
    <x v="0"/>
    <n v="4"/>
    <n v="629.88"/>
    <s v="550 Main St"/>
    <x v="0"/>
    <x v="1"/>
    <s v="TRK56378197"/>
    <n v="8"/>
    <x v="3"/>
    <s v="WINTER15"/>
    <x v="0"/>
    <n v="2519.52"/>
    <n v="2519.52"/>
  </r>
  <r>
    <s v="ORD200550"/>
    <x v="418"/>
    <s v="C97485"/>
    <x v="5"/>
    <n v="4"/>
    <n v="228.91"/>
    <s v="573 Main St"/>
    <x v="4"/>
    <x v="0"/>
    <s v="TRK81794737"/>
    <n v="4"/>
    <x v="5"/>
    <s v="FREESHIP"/>
    <x v="4"/>
    <n v="915.64"/>
    <n v="0"/>
  </r>
  <r>
    <s v="ORD200551"/>
    <x v="419"/>
    <s v="C23947"/>
    <x v="5"/>
    <n v="1"/>
    <n v="120.98"/>
    <s v="353 Main St"/>
    <x v="0"/>
    <x v="3"/>
    <s v="TRK74812710"/>
    <n v="6"/>
    <x v="4"/>
    <s v="WINTER15"/>
    <x v="2"/>
    <n v="120.98"/>
    <n v="604.9"/>
  </r>
  <r>
    <s v="ORD200552"/>
    <x v="420"/>
    <s v="C21665"/>
    <x v="3"/>
    <n v="4"/>
    <n v="425.18"/>
    <s v="560 Main St"/>
    <x v="1"/>
    <x v="2"/>
    <s v="TRK29890761"/>
    <n v="8"/>
    <x v="3"/>
    <s v="WINTER15"/>
    <x v="3"/>
    <n v="1700.72"/>
    <n v="1700.72"/>
  </r>
  <r>
    <s v="ORD200553"/>
    <x v="421"/>
    <s v="C82550"/>
    <x v="1"/>
    <n v="2"/>
    <n v="333.83"/>
    <s v="828 Main St"/>
    <x v="3"/>
    <x v="1"/>
    <s v="TRK74103758"/>
    <n v="4"/>
    <x v="0"/>
    <s v="FREESHIP"/>
    <x v="1"/>
    <n v="667.66"/>
    <n v="667.66"/>
  </r>
  <r>
    <s v="ORD200554"/>
    <x v="422"/>
    <s v="C61943"/>
    <x v="5"/>
    <n v="2"/>
    <n v="492.9"/>
    <s v="610 Main St"/>
    <x v="4"/>
    <x v="2"/>
    <s v="TRK66126496"/>
    <n v="5"/>
    <x v="2"/>
    <s v="FREESHIP"/>
    <x v="0"/>
    <n v="985.8"/>
    <n v="1478.6999999999998"/>
  </r>
  <r>
    <s v="ORD200555"/>
    <x v="33"/>
    <s v="C88933"/>
    <x v="2"/>
    <n v="1"/>
    <n v="92.04"/>
    <s v="333 Main St"/>
    <x v="4"/>
    <x v="0"/>
    <s v="TRK89306964"/>
    <n v="2"/>
    <x v="1"/>
    <s v="NO-DISCOUNT"/>
    <x v="3"/>
    <n v="92.04"/>
    <n v="92.04"/>
  </r>
  <r>
    <s v="ORD200556"/>
    <x v="423"/>
    <s v="C30923"/>
    <x v="5"/>
    <n v="1"/>
    <n v="654.27"/>
    <s v="932 Main St"/>
    <x v="3"/>
    <x v="4"/>
    <s v="TRK82609328"/>
    <n v="2"/>
    <x v="1"/>
    <s v="SAVE10"/>
    <x v="3"/>
    <n v="654.27"/>
    <n v="654.27"/>
  </r>
  <r>
    <s v="ORD200557"/>
    <x v="282"/>
    <s v="C56969"/>
    <x v="2"/>
    <n v="1"/>
    <n v="56.2"/>
    <s v="130 Main St"/>
    <x v="0"/>
    <x v="4"/>
    <s v="TRK40719215"/>
    <n v="1"/>
    <x v="5"/>
    <s v="WINTER15"/>
    <x v="3"/>
    <n v="56.2"/>
    <n v="0"/>
  </r>
  <r>
    <s v="ORD200558"/>
    <x v="424"/>
    <s v="C76766"/>
    <x v="1"/>
    <n v="4"/>
    <n v="628.12"/>
    <s v="485 Main St"/>
    <x v="1"/>
    <x v="3"/>
    <s v="TRK32052962"/>
    <n v="6"/>
    <x v="0"/>
    <s v="WINTER15"/>
    <x v="0"/>
    <n v="2512.48"/>
    <n v="1256.24"/>
  </r>
  <r>
    <s v="ORD200559"/>
    <x v="116"/>
    <s v="C22981"/>
    <x v="6"/>
    <n v="3"/>
    <n v="157.4"/>
    <s v="454 Main St"/>
    <x v="0"/>
    <x v="1"/>
    <s v="TRK10115285"/>
    <n v="7"/>
    <x v="3"/>
    <s v="WINTER15"/>
    <x v="2"/>
    <n v="472.2"/>
    <n v="629.6"/>
  </r>
  <r>
    <s v="ORD200560"/>
    <x v="425"/>
    <s v="C33634"/>
    <x v="0"/>
    <n v="4"/>
    <n v="588.85"/>
    <s v="524 Main St"/>
    <x v="3"/>
    <x v="4"/>
    <s v="TRK93168008"/>
    <n v="7"/>
    <x v="2"/>
    <s v="NO-DISCOUNT"/>
    <x v="2"/>
    <n v="2355.4"/>
    <n v="1766.5500000000002"/>
  </r>
  <r>
    <s v="ORD200561"/>
    <x v="425"/>
    <s v="C96822"/>
    <x v="4"/>
    <n v="2"/>
    <n v="494.78"/>
    <s v="198 Main St"/>
    <x v="1"/>
    <x v="0"/>
    <s v="TRK89180077"/>
    <n v="2"/>
    <x v="5"/>
    <s v="NO-DISCOUNT"/>
    <x v="4"/>
    <n v="989.56"/>
    <n v="0"/>
  </r>
  <r>
    <s v="ORD200562"/>
    <x v="426"/>
    <s v="C76675"/>
    <x v="5"/>
    <n v="3"/>
    <n v="663.93"/>
    <s v="922 Main St"/>
    <x v="3"/>
    <x v="2"/>
    <s v="TRK28043915"/>
    <n v="6"/>
    <x v="2"/>
    <s v="FREESHIP"/>
    <x v="2"/>
    <n v="1991.79"/>
    <n v="1991.79"/>
  </r>
  <r>
    <s v="ORD200563"/>
    <x v="427"/>
    <s v="C12039"/>
    <x v="5"/>
    <n v="1"/>
    <n v="132.68"/>
    <s v="844 Main St"/>
    <x v="0"/>
    <x v="2"/>
    <s v="TRK68645763"/>
    <n v="1"/>
    <x v="5"/>
    <s v="SAVE10"/>
    <x v="1"/>
    <n v="132.68"/>
    <n v="0"/>
  </r>
  <r>
    <s v="ORD200564"/>
    <x v="428"/>
    <s v="C93309"/>
    <x v="6"/>
    <n v="5"/>
    <n v="364.28"/>
    <s v="734 Main St"/>
    <x v="2"/>
    <x v="1"/>
    <s v="TRK99446987"/>
    <n v="5"/>
    <x v="5"/>
    <s v="WINTER15"/>
    <x v="4"/>
    <n v="1821.4"/>
    <n v="0"/>
  </r>
  <r>
    <s v="ORD200565"/>
    <x v="429"/>
    <s v="C62042"/>
    <x v="2"/>
    <n v="5"/>
    <n v="307.98"/>
    <s v="214 Main St"/>
    <x v="1"/>
    <x v="4"/>
    <s v="TRK42605492"/>
    <n v="10"/>
    <x v="4"/>
    <s v="NO-DISCOUNT"/>
    <x v="3"/>
    <n v="1539.9"/>
    <n v="1539.9"/>
  </r>
  <r>
    <s v="ORD200566"/>
    <x v="171"/>
    <s v="C83223"/>
    <x v="1"/>
    <n v="4"/>
    <n v="162.71"/>
    <s v="167 Main St"/>
    <x v="4"/>
    <x v="1"/>
    <s v="TRK54339083"/>
    <n v="7"/>
    <x v="2"/>
    <s v="FREESHIP"/>
    <x v="2"/>
    <n v="650.84"/>
    <n v="488.13"/>
  </r>
  <r>
    <s v="ORD200567"/>
    <x v="430"/>
    <s v="C92575"/>
    <x v="3"/>
    <n v="5"/>
    <n v="492.94"/>
    <s v="153 Main St"/>
    <x v="4"/>
    <x v="0"/>
    <s v="TRK53579227"/>
    <n v="10"/>
    <x v="4"/>
    <s v="FREESHIP"/>
    <x v="2"/>
    <n v="2464.6999999999998"/>
    <n v="2464.6999999999998"/>
  </r>
  <r>
    <s v="ORD200568"/>
    <x v="401"/>
    <s v="C29072"/>
    <x v="5"/>
    <n v="2"/>
    <n v="343.99"/>
    <s v="312 Main St"/>
    <x v="1"/>
    <x v="3"/>
    <s v="TRK72334047"/>
    <n v="4"/>
    <x v="0"/>
    <s v="NO-DISCOUNT"/>
    <x v="4"/>
    <n v="687.98"/>
    <n v="687.98"/>
  </r>
  <r>
    <s v="ORD200569"/>
    <x v="29"/>
    <s v="C25783"/>
    <x v="6"/>
    <n v="5"/>
    <n v="250.68"/>
    <s v="672 Main St"/>
    <x v="4"/>
    <x v="0"/>
    <s v="TRK13289741"/>
    <n v="8"/>
    <x v="2"/>
    <s v="SAVE10"/>
    <x v="0"/>
    <n v="1253.4000000000001"/>
    <n v="752.04"/>
  </r>
  <r>
    <s v="ORD200570"/>
    <x v="431"/>
    <s v="C63727"/>
    <x v="6"/>
    <n v="2"/>
    <n v="362.14"/>
    <s v="122 Main St"/>
    <x v="0"/>
    <x v="4"/>
    <s v="TRK13611021"/>
    <n v="2"/>
    <x v="5"/>
    <s v="SAVE10"/>
    <x v="0"/>
    <n v="724.28"/>
    <n v="0"/>
  </r>
  <r>
    <s v="ORD200571"/>
    <x v="432"/>
    <s v="C42365"/>
    <x v="2"/>
    <n v="1"/>
    <n v="214.08"/>
    <s v="867 Main St"/>
    <x v="3"/>
    <x v="2"/>
    <s v="TRK39563288"/>
    <n v="2"/>
    <x v="1"/>
    <s v="WINTER15"/>
    <x v="4"/>
    <n v="214.08"/>
    <n v="214.08"/>
  </r>
  <r>
    <s v="ORD200572"/>
    <x v="433"/>
    <s v="C27438"/>
    <x v="4"/>
    <n v="1"/>
    <n v="70.319999999999993"/>
    <s v="341 Main St"/>
    <x v="4"/>
    <x v="2"/>
    <s v="TRK69125497"/>
    <n v="4"/>
    <x v="2"/>
    <s v="WINTER15"/>
    <x v="3"/>
    <n v="70.319999999999993"/>
    <n v="210.95999999999998"/>
  </r>
  <r>
    <s v="ORD200573"/>
    <x v="261"/>
    <s v="C13205"/>
    <x v="3"/>
    <n v="5"/>
    <n v="421.42"/>
    <s v="522 Main St"/>
    <x v="0"/>
    <x v="1"/>
    <s v="TRK30686578"/>
    <n v="7"/>
    <x v="0"/>
    <s v="NO-DISCOUNT"/>
    <x v="0"/>
    <n v="2107.1"/>
    <n v="842.84"/>
  </r>
  <r>
    <s v="ORD200574"/>
    <x v="434"/>
    <s v="C29685"/>
    <x v="3"/>
    <n v="5"/>
    <n v="384.69"/>
    <s v="275 Main St"/>
    <x v="2"/>
    <x v="4"/>
    <s v="TRK97733212"/>
    <n v="6"/>
    <x v="1"/>
    <s v="FREESHIP"/>
    <x v="2"/>
    <n v="1923.45"/>
    <n v="384.69"/>
  </r>
  <r>
    <s v="ORD200575"/>
    <x v="323"/>
    <s v="C74005"/>
    <x v="3"/>
    <n v="5"/>
    <n v="448.15"/>
    <s v="528 Main St"/>
    <x v="3"/>
    <x v="2"/>
    <s v="TRK61640534"/>
    <n v="7"/>
    <x v="0"/>
    <s v="SAVE10"/>
    <x v="4"/>
    <n v="2240.75"/>
    <n v="896.3"/>
  </r>
  <r>
    <s v="ORD200576"/>
    <x v="382"/>
    <s v="C14457"/>
    <x v="5"/>
    <n v="5"/>
    <n v="79.08"/>
    <s v="747 Main St"/>
    <x v="4"/>
    <x v="4"/>
    <s v="TRK42517811"/>
    <n v="8"/>
    <x v="2"/>
    <s v="NO-DISCOUNT"/>
    <x v="3"/>
    <n v="395.4"/>
    <n v="237.24"/>
  </r>
  <r>
    <s v="ORD200577"/>
    <x v="55"/>
    <s v="C77046"/>
    <x v="2"/>
    <n v="4"/>
    <n v="185.41"/>
    <s v="967 Main St"/>
    <x v="1"/>
    <x v="2"/>
    <s v="TRK44401497"/>
    <n v="9"/>
    <x v="4"/>
    <s v="WINTER15"/>
    <x v="4"/>
    <n v="741.64"/>
    <n v="927.05"/>
  </r>
  <r>
    <s v="ORD200578"/>
    <x v="84"/>
    <s v="C50415"/>
    <x v="0"/>
    <n v="5"/>
    <n v="566.07000000000005"/>
    <s v="587 Main St"/>
    <x v="2"/>
    <x v="3"/>
    <s v="TRK41345634"/>
    <n v="6"/>
    <x v="1"/>
    <s v="SAVE10"/>
    <x v="0"/>
    <n v="2830.35"/>
    <n v="566.07000000000005"/>
  </r>
  <r>
    <s v="ORD200579"/>
    <x v="243"/>
    <s v="C73999"/>
    <x v="2"/>
    <n v="2"/>
    <n v="187.88"/>
    <s v="413 Main St"/>
    <x v="1"/>
    <x v="0"/>
    <s v="TRK67919507"/>
    <n v="4"/>
    <x v="0"/>
    <s v="WINTER15"/>
    <x v="3"/>
    <n v="375.76"/>
    <n v="375.76"/>
  </r>
  <r>
    <s v="ORD200580"/>
    <x v="414"/>
    <s v="C71076"/>
    <x v="0"/>
    <n v="2"/>
    <n v="255.99"/>
    <s v="340 Main St"/>
    <x v="2"/>
    <x v="3"/>
    <s v="TRK65148292"/>
    <n v="4"/>
    <x v="0"/>
    <s v="SAVE10"/>
    <x v="0"/>
    <n v="511.98"/>
    <n v="511.98"/>
  </r>
  <r>
    <s v="ORD200581"/>
    <x v="435"/>
    <s v="C44674"/>
    <x v="5"/>
    <n v="1"/>
    <n v="627.34"/>
    <s v="942 Main St"/>
    <x v="1"/>
    <x v="3"/>
    <s v="TRK87158684"/>
    <n v="1"/>
    <x v="5"/>
    <s v="NO-DISCOUNT"/>
    <x v="1"/>
    <n v="627.34"/>
    <n v="0"/>
  </r>
  <r>
    <s v="ORD200582"/>
    <x v="436"/>
    <s v="C15228"/>
    <x v="2"/>
    <n v="3"/>
    <n v="474.14"/>
    <s v="558 Main St"/>
    <x v="3"/>
    <x v="0"/>
    <s v="TRK33860620"/>
    <n v="8"/>
    <x v="4"/>
    <s v="WINTER15"/>
    <x v="4"/>
    <n v="1422.42"/>
    <n v="2370.6999999999998"/>
  </r>
  <r>
    <s v="ORD200583"/>
    <x v="437"/>
    <s v="C27072"/>
    <x v="3"/>
    <n v="3"/>
    <n v="154.37"/>
    <s v="996 Main St"/>
    <x v="3"/>
    <x v="3"/>
    <s v="TRK29750379"/>
    <n v="4"/>
    <x v="1"/>
    <s v="NO-DISCOUNT"/>
    <x v="0"/>
    <n v="463.11"/>
    <n v="154.37"/>
  </r>
  <r>
    <s v="ORD200584"/>
    <x v="438"/>
    <s v="C15257"/>
    <x v="3"/>
    <n v="4"/>
    <n v="145.05000000000001"/>
    <s v="626 Main St"/>
    <x v="1"/>
    <x v="3"/>
    <s v="TRK28779938"/>
    <n v="6"/>
    <x v="0"/>
    <s v="SAVE10"/>
    <x v="4"/>
    <n v="580.20000000000005"/>
    <n v="290.10000000000002"/>
  </r>
  <r>
    <s v="ORD200585"/>
    <x v="38"/>
    <s v="C91486"/>
    <x v="2"/>
    <n v="4"/>
    <n v="67.08"/>
    <s v="907 Main St"/>
    <x v="4"/>
    <x v="2"/>
    <s v="TRK79617136"/>
    <n v="8"/>
    <x v="3"/>
    <s v="WINTER15"/>
    <x v="4"/>
    <n v="268.32"/>
    <n v="268.32"/>
  </r>
  <r>
    <s v="ORD200586"/>
    <x v="337"/>
    <s v="C17389"/>
    <x v="0"/>
    <n v="1"/>
    <n v="522.08000000000004"/>
    <s v="905 Main St"/>
    <x v="3"/>
    <x v="2"/>
    <s v="TRK98857880"/>
    <n v="5"/>
    <x v="3"/>
    <s v="FREESHIP"/>
    <x v="1"/>
    <n v="522.08000000000004"/>
    <n v="2088.3200000000002"/>
  </r>
  <r>
    <s v="ORD200587"/>
    <x v="439"/>
    <s v="C18820"/>
    <x v="0"/>
    <n v="5"/>
    <n v="514.6"/>
    <s v="347 Main St"/>
    <x v="3"/>
    <x v="3"/>
    <s v="TRK91547425"/>
    <n v="10"/>
    <x v="4"/>
    <s v="FREESHIP"/>
    <x v="0"/>
    <n v="2573"/>
    <n v="2573"/>
  </r>
  <r>
    <s v="ORD200588"/>
    <x v="440"/>
    <s v="C61849"/>
    <x v="0"/>
    <n v="4"/>
    <n v="577.82000000000005"/>
    <s v="811 Main St"/>
    <x v="2"/>
    <x v="3"/>
    <s v="TRK47613918"/>
    <n v="9"/>
    <x v="4"/>
    <s v="NO-DISCOUNT"/>
    <x v="4"/>
    <n v="2311.2800000000002"/>
    <n v="2889.1000000000004"/>
  </r>
  <r>
    <s v="ORD200589"/>
    <x v="441"/>
    <s v="C84041"/>
    <x v="5"/>
    <n v="2"/>
    <n v="500.8"/>
    <s v="900 Main St"/>
    <x v="4"/>
    <x v="3"/>
    <s v="TRK84920444"/>
    <n v="3"/>
    <x v="1"/>
    <s v="FREESHIP"/>
    <x v="1"/>
    <n v="1001.6"/>
    <n v="500.8"/>
  </r>
  <r>
    <s v="ORD200590"/>
    <x v="442"/>
    <s v="C55757"/>
    <x v="4"/>
    <n v="2"/>
    <n v="461.13"/>
    <s v="175 Main St"/>
    <x v="3"/>
    <x v="2"/>
    <s v="TRK27356242"/>
    <n v="4"/>
    <x v="0"/>
    <s v="NO-DISCOUNT"/>
    <x v="2"/>
    <n v="922.26"/>
    <n v="922.26"/>
  </r>
  <r>
    <s v="ORD200591"/>
    <x v="249"/>
    <s v="C18187"/>
    <x v="5"/>
    <n v="1"/>
    <n v="605.28"/>
    <s v="470 Main St"/>
    <x v="3"/>
    <x v="0"/>
    <s v="TRK50528185"/>
    <n v="3"/>
    <x v="0"/>
    <s v="FREESHIP"/>
    <x v="1"/>
    <n v="605.28"/>
    <n v="1210.56"/>
  </r>
  <r>
    <s v="ORD200592"/>
    <x v="234"/>
    <s v="C42306"/>
    <x v="1"/>
    <n v="3"/>
    <n v="204.27"/>
    <s v="938 Main St"/>
    <x v="1"/>
    <x v="2"/>
    <s v="TRK15499648"/>
    <n v="4"/>
    <x v="1"/>
    <s v="NO-DISCOUNT"/>
    <x v="4"/>
    <n v="612.81000000000006"/>
    <n v="204.27"/>
  </r>
  <r>
    <s v="ORD200593"/>
    <x v="443"/>
    <s v="C51024"/>
    <x v="0"/>
    <n v="1"/>
    <n v="489.8"/>
    <s v="636 Main St"/>
    <x v="3"/>
    <x v="0"/>
    <s v="TRK31375086"/>
    <n v="4"/>
    <x v="2"/>
    <s v="FREESHIP"/>
    <x v="3"/>
    <n v="489.8"/>
    <n v="1469.4"/>
  </r>
  <r>
    <s v="ORD200594"/>
    <x v="444"/>
    <s v="C40140"/>
    <x v="1"/>
    <n v="5"/>
    <n v="72.64"/>
    <s v="598 Main St"/>
    <x v="2"/>
    <x v="1"/>
    <s v="TRK12671989"/>
    <n v="7"/>
    <x v="0"/>
    <s v="NO-DISCOUNT"/>
    <x v="2"/>
    <n v="363.2"/>
    <n v="145.28"/>
  </r>
  <r>
    <s v="ORD200595"/>
    <x v="445"/>
    <s v="C72596"/>
    <x v="4"/>
    <n v="2"/>
    <n v="385.16"/>
    <s v="491 Main St"/>
    <x v="1"/>
    <x v="4"/>
    <s v="TRK83870446"/>
    <n v="7"/>
    <x v="4"/>
    <s v="SAVE10"/>
    <x v="2"/>
    <n v="770.32"/>
    <n v="1925.8000000000002"/>
  </r>
  <r>
    <s v="ORD200596"/>
    <x v="439"/>
    <s v="C91805"/>
    <x v="6"/>
    <n v="3"/>
    <n v="606.41"/>
    <s v="653 Main St"/>
    <x v="0"/>
    <x v="2"/>
    <s v="TRK34504030"/>
    <n v="7"/>
    <x v="3"/>
    <s v="FREESHIP"/>
    <x v="3"/>
    <n v="1819.23"/>
    <n v="2425.64"/>
  </r>
  <r>
    <s v="ORD200597"/>
    <x v="446"/>
    <s v="C40538"/>
    <x v="6"/>
    <n v="2"/>
    <n v="211.82"/>
    <s v="700 Main St"/>
    <x v="3"/>
    <x v="1"/>
    <s v="TRK29821356"/>
    <n v="4"/>
    <x v="0"/>
    <s v="WINTER15"/>
    <x v="2"/>
    <n v="423.64"/>
    <n v="423.64"/>
  </r>
  <r>
    <s v="ORD200598"/>
    <x v="447"/>
    <s v="C60329"/>
    <x v="6"/>
    <n v="5"/>
    <n v="495.35"/>
    <s v="826 Main St"/>
    <x v="2"/>
    <x v="4"/>
    <s v="TRK59069987"/>
    <n v="5"/>
    <x v="5"/>
    <s v="NO-DISCOUNT"/>
    <x v="3"/>
    <n v="2476.75"/>
    <n v="0"/>
  </r>
  <r>
    <s v="ORD200599"/>
    <x v="30"/>
    <s v="C28740"/>
    <x v="3"/>
    <n v="3"/>
    <n v="556.99"/>
    <s v="123 Main St"/>
    <x v="1"/>
    <x v="1"/>
    <s v="TRK33642221"/>
    <n v="4"/>
    <x v="1"/>
    <s v="FREESHIP"/>
    <x v="3"/>
    <n v="1670.97"/>
    <n v="556.99"/>
  </r>
  <r>
    <s v="ORD200600"/>
    <x v="68"/>
    <s v="C87051"/>
    <x v="4"/>
    <n v="1"/>
    <n v="72.31"/>
    <s v="460 Main St"/>
    <x v="3"/>
    <x v="1"/>
    <s v="TRK82056333"/>
    <n v="1"/>
    <x v="5"/>
    <s v="FREESHIP"/>
    <x v="3"/>
    <n v="72.31"/>
    <n v="0"/>
  </r>
  <r>
    <s v="ORD200601"/>
    <x v="276"/>
    <s v="C12479"/>
    <x v="0"/>
    <n v="5"/>
    <n v="24.82"/>
    <s v="529 Main St"/>
    <x v="2"/>
    <x v="0"/>
    <s v="TRK73935314"/>
    <n v="10"/>
    <x v="4"/>
    <s v="NO-DISCOUNT"/>
    <x v="1"/>
    <n v="124.1"/>
    <n v="124.1"/>
  </r>
  <r>
    <s v="ORD200602"/>
    <x v="448"/>
    <s v="C35852"/>
    <x v="2"/>
    <n v="4"/>
    <n v="26.04"/>
    <s v="982 Main St"/>
    <x v="1"/>
    <x v="4"/>
    <s v="TRK64660134"/>
    <n v="5"/>
    <x v="1"/>
    <s v="SAVE10"/>
    <x v="0"/>
    <n v="104.16"/>
    <n v="26.04"/>
  </r>
  <r>
    <s v="ORD200603"/>
    <x v="449"/>
    <s v="C26223"/>
    <x v="2"/>
    <n v="1"/>
    <n v="657.07"/>
    <s v="800 Main St"/>
    <x v="4"/>
    <x v="4"/>
    <s v="TRK50900547"/>
    <n v="4"/>
    <x v="2"/>
    <s v="SAVE10"/>
    <x v="4"/>
    <n v="657.07"/>
    <n v="1971.21"/>
  </r>
  <r>
    <s v="ORD200604"/>
    <x v="450"/>
    <s v="C99214"/>
    <x v="3"/>
    <n v="3"/>
    <n v="32.619999999999997"/>
    <s v="252 Main St"/>
    <x v="0"/>
    <x v="3"/>
    <s v="TRK81368481"/>
    <n v="6"/>
    <x v="2"/>
    <s v="NO-DISCOUNT"/>
    <x v="3"/>
    <n v="97.859999999999985"/>
    <n v="97.859999999999985"/>
  </r>
  <r>
    <s v="ORD200605"/>
    <x v="451"/>
    <s v="C49605"/>
    <x v="0"/>
    <n v="2"/>
    <n v="228.91"/>
    <s v="892 Main St"/>
    <x v="0"/>
    <x v="0"/>
    <s v="TRK95620066"/>
    <n v="4"/>
    <x v="0"/>
    <s v="SAVE10"/>
    <x v="1"/>
    <n v="457.82"/>
    <n v="457.82"/>
  </r>
  <r>
    <s v="ORD200606"/>
    <x v="119"/>
    <s v="C85018"/>
    <x v="5"/>
    <n v="3"/>
    <n v="274.75"/>
    <s v="783 Main St"/>
    <x v="4"/>
    <x v="1"/>
    <s v="TRK54128886"/>
    <n v="3"/>
    <x v="5"/>
    <s v="SAVE10"/>
    <x v="4"/>
    <n v="824.25"/>
    <n v="0"/>
  </r>
  <r>
    <s v="ORD200607"/>
    <x v="133"/>
    <s v="C96434"/>
    <x v="4"/>
    <n v="4"/>
    <n v="634.04999999999995"/>
    <s v="282 Main St"/>
    <x v="4"/>
    <x v="0"/>
    <s v="TRK56730647"/>
    <n v="6"/>
    <x v="0"/>
    <s v="SAVE10"/>
    <x v="4"/>
    <n v="2536.1999999999998"/>
    <n v="1268.0999999999999"/>
  </r>
  <r>
    <s v="ORD200608"/>
    <x v="25"/>
    <s v="C32956"/>
    <x v="5"/>
    <n v="5"/>
    <n v="543.16"/>
    <s v="788 Main St"/>
    <x v="1"/>
    <x v="1"/>
    <s v="TRK73140103"/>
    <n v="6"/>
    <x v="1"/>
    <s v="SAVE10"/>
    <x v="0"/>
    <n v="2715.8"/>
    <n v="543.16"/>
  </r>
  <r>
    <s v="ORD200609"/>
    <x v="109"/>
    <s v="C41137"/>
    <x v="3"/>
    <n v="3"/>
    <n v="449.13"/>
    <s v="809 Main St"/>
    <x v="4"/>
    <x v="2"/>
    <s v="TRK52732162"/>
    <n v="5"/>
    <x v="0"/>
    <s v="WINTER15"/>
    <x v="1"/>
    <n v="1347.39"/>
    <n v="898.26"/>
  </r>
  <r>
    <s v="ORD200610"/>
    <x v="452"/>
    <s v="C60361"/>
    <x v="6"/>
    <n v="5"/>
    <n v="389.62"/>
    <s v="623 Main St"/>
    <x v="4"/>
    <x v="2"/>
    <s v="TRK83566924"/>
    <n v="7"/>
    <x v="0"/>
    <s v="FREESHIP"/>
    <x v="3"/>
    <n v="1948.1"/>
    <n v="779.24"/>
  </r>
  <r>
    <s v="ORD200611"/>
    <x v="453"/>
    <s v="C36688"/>
    <x v="6"/>
    <n v="1"/>
    <n v="305.17"/>
    <s v="700 Main St"/>
    <x v="3"/>
    <x v="2"/>
    <s v="TRK35720426"/>
    <n v="3"/>
    <x v="0"/>
    <s v="WINTER15"/>
    <x v="1"/>
    <n v="305.17"/>
    <n v="610.34"/>
  </r>
  <r>
    <s v="ORD200612"/>
    <x v="454"/>
    <s v="C51811"/>
    <x v="3"/>
    <n v="3"/>
    <n v="445.12"/>
    <s v="339 Main St"/>
    <x v="3"/>
    <x v="1"/>
    <s v="TRK82377939"/>
    <n v="8"/>
    <x v="4"/>
    <s v="NO-DISCOUNT"/>
    <x v="4"/>
    <n v="1335.36"/>
    <n v="2225.6"/>
  </r>
  <r>
    <s v="ORD200613"/>
    <x v="36"/>
    <s v="C62405"/>
    <x v="5"/>
    <n v="2"/>
    <n v="230.36"/>
    <s v="154 Main St"/>
    <x v="1"/>
    <x v="2"/>
    <s v="TRK14721763"/>
    <n v="4"/>
    <x v="0"/>
    <s v="WINTER15"/>
    <x v="2"/>
    <n v="460.72"/>
    <n v="460.72"/>
  </r>
  <r>
    <s v="ORD200614"/>
    <x v="455"/>
    <s v="C77363"/>
    <x v="1"/>
    <n v="1"/>
    <n v="96.81"/>
    <s v="807 Main St"/>
    <x v="3"/>
    <x v="1"/>
    <s v="TRK12439827"/>
    <n v="3"/>
    <x v="0"/>
    <s v="NO-DISCOUNT"/>
    <x v="1"/>
    <n v="96.81"/>
    <n v="193.62"/>
  </r>
  <r>
    <s v="ORD200615"/>
    <x v="456"/>
    <s v="C97218"/>
    <x v="0"/>
    <n v="5"/>
    <n v="460.14"/>
    <s v="252 Main St"/>
    <x v="2"/>
    <x v="2"/>
    <s v="TRK52632065"/>
    <n v="10"/>
    <x v="4"/>
    <s v="WINTER15"/>
    <x v="3"/>
    <n v="2300.6999999999998"/>
    <n v="2300.6999999999998"/>
  </r>
  <r>
    <s v="ORD200616"/>
    <x v="457"/>
    <s v="C43919"/>
    <x v="2"/>
    <n v="3"/>
    <n v="601.6"/>
    <s v="984 Main St"/>
    <x v="2"/>
    <x v="1"/>
    <s v="TRK73113192"/>
    <n v="7"/>
    <x v="3"/>
    <s v="SAVE10"/>
    <x v="3"/>
    <n v="1804.8"/>
    <n v="2406.4"/>
  </r>
  <r>
    <s v="ORD200617"/>
    <x v="458"/>
    <s v="C57093"/>
    <x v="2"/>
    <n v="3"/>
    <n v="184.47"/>
    <s v="834 Main St"/>
    <x v="1"/>
    <x v="1"/>
    <s v="TRK75469057"/>
    <n v="4"/>
    <x v="1"/>
    <s v="NO-DISCOUNT"/>
    <x v="1"/>
    <n v="553.41"/>
    <n v="184.47"/>
  </r>
  <r>
    <s v="ORD200618"/>
    <x v="459"/>
    <s v="C50565"/>
    <x v="2"/>
    <n v="1"/>
    <n v="411.34"/>
    <s v="399 Main St"/>
    <x v="0"/>
    <x v="2"/>
    <s v="TRK97981418"/>
    <n v="5"/>
    <x v="3"/>
    <s v="NO-DISCOUNT"/>
    <x v="0"/>
    <n v="411.34"/>
    <n v="1645.36"/>
  </r>
  <r>
    <s v="ORD200619"/>
    <x v="424"/>
    <s v="C38845"/>
    <x v="5"/>
    <n v="1"/>
    <n v="532.89"/>
    <s v="764 Main St"/>
    <x v="3"/>
    <x v="4"/>
    <s v="TRK47637374"/>
    <n v="2"/>
    <x v="1"/>
    <s v="NO-DISCOUNT"/>
    <x v="1"/>
    <n v="532.89"/>
    <n v="532.89"/>
  </r>
  <r>
    <s v="ORD200620"/>
    <x v="460"/>
    <s v="C84834"/>
    <x v="2"/>
    <n v="3"/>
    <n v="136.34"/>
    <s v="866 Main St"/>
    <x v="0"/>
    <x v="2"/>
    <s v="TRK90136001"/>
    <n v="8"/>
    <x v="4"/>
    <s v="SAVE10"/>
    <x v="1"/>
    <n v="409.02"/>
    <n v="681.7"/>
  </r>
  <r>
    <s v="ORD200621"/>
    <x v="356"/>
    <s v="C37455"/>
    <x v="1"/>
    <n v="5"/>
    <n v="476.01"/>
    <s v="146 Main St"/>
    <x v="2"/>
    <x v="3"/>
    <s v="TRK82685594"/>
    <n v="7"/>
    <x v="0"/>
    <s v="WINTER15"/>
    <x v="4"/>
    <n v="2380.0500000000002"/>
    <n v="952.02"/>
  </r>
  <r>
    <s v="ORD200622"/>
    <x v="461"/>
    <s v="C27078"/>
    <x v="6"/>
    <n v="5"/>
    <n v="236.38"/>
    <s v="128 Main St"/>
    <x v="2"/>
    <x v="2"/>
    <s v="TRK89314307"/>
    <n v="7"/>
    <x v="0"/>
    <s v="NO-DISCOUNT"/>
    <x v="3"/>
    <n v="1181.9000000000001"/>
    <n v="472.76"/>
  </r>
  <r>
    <s v="ORD200623"/>
    <x v="379"/>
    <s v="C91941"/>
    <x v="4"/>
    <n v="3"/>
    <n v="396"/>
    <s v="269 Main St"/>
    <x v="3"/>
    <x v="1"/>
    <s v="TRK21330732"/>
    <n v="4"/>
    <x v="1"/>
    <s v="FREESHIP"/>
    <x v="0"/>
    <n v="1188"/>
    <n v="396"/>
  </r>
  <r>
    <s v="ORD200624"/>
    <x v="462"/>
    <s v="C25967"/>
    <x v="2"/>
    <n v="5"/>
    <n v="341.96"/>
    <s v="747 Main St"/>
    <x v="0"/>
    <x v="3"/>
    <s v="TRK88559278"/>
    <n v="6"/>
    <x v="1"/>
    <s v="NO-DISCOUNT"/>
    <x v="2"/>
    <n v="1709.8"/>
    <n v="341.96"/>
  </r>
  <r>
    <s v="ORD200625"/>
    <x v="463"/>
    <s v="C22123"/>
    <x v="2"/>
    <n v="1"/>
    <n v="672.89"/>
    <s v="519 Main St"/>
    <x v="2"/>
    <x v="4"/>
    <s v="TRK43250279"/>
    <n v="1"/>
    <x v="5"/>
    <s v="WINTER15"/>
    <x v="2"/>
    <n v="672.89"/>
    <n v="0"/>
  </r>
  <r>
    <s v="ORD200626"/>
    <x v="417"/>
    <s v="C45671"/>
    <x v="2"/>
    <n v="2"/>
    <n v="657.48"/>
    <s v="769 Main St"/>
    <x v="1"/>
    <x v="0"/>
    <s v="TRK18179773"/>
    <n v="5"/>
    <x v="2"/>
    <s v="SAVE10"/>
    <x v="1"/>
    <n v="1314.96"/>
    <n v="1972.44"/>
  </r>
  <r>
    <s v="ORD200627"/>
    <x v="464"/>
    <s v="C53334"/>
    <x v="3"/>
    <n v="3"/>
    <n v="498.68"/>
    <s v="879 Main St"/>
    <x v="1"/>
    <x v="2"/>
    <s v="TRK31724421"/>
    <n v="4"/>
    <x v="1"/>
    <s v="FREESHIP"/>
    <x v="2"/>
    <n v="1496.04"/>
    <n v="498.68"/>
  </r>
  <r>
    <s v="ORD200628"/>
    <x v="465"/>
    <s v="C18717"/>
    <x v="4"/>
    <n v="5"/>
    <n v="558.63"/>
    <s v="861 Main St"/>
    <x v="4"/>
    <x v="4"/>
    <s v="TRK58568806"/>
    <n v="8"/>
    <x v="2"/>
    <s v="FREESHIP"/>
    <x v="1"/>
    <n v="2793.15"/>
    <n v="1675.8899999999999"/>
  </r>
  <r>
    <s v="ORD200629"/>
    <x v="466"/>
    <s v="C50137"/>
    <x v="1"/>
    <n v="3"/>
    <n v="19.73"/>
    <s v="840 Main St"/>
    <x v="1"/>
    <x v="4"/>
    <s v="TRK91836131"/>
    <n v="3"/>
    <x v="5"/>
    <s v="NO-DISCOUNT"/>
    <x v="1"/>
    <n v="59.19"/>
    <n v="0"/>
  </r>
  <r>
    <s v="ORD200630"/>
    <x v="467"/>
    <s v="C51481"/>
    <x v="0"/>
    <n v="5"/>
    <n v="248.84"/>
    <s v="140 Main St"/>
    <x v="0"/>
    <x v="1"/>
    <s v="TRK33437701"/>
    <n v="10"/>
    <x v="4"/>
    <s v="NO-DISCOUNT"/>
    <x v="0"/>
    <n v="1244.2"/>
    <n v="1244.2"/>
  </r>
  <r>
    <s v="ORD200631"/>
    <x v="169"/>
    <s v="C99128"/>
    <x v="3"/>
    <n v="3"/>
    <n v="46.11"/>
    <s v="360 Main St"/>
    <x v="3"/>
    <x v="2"/>
    <s v="TRK32426808"/>
    <n v="5"/>
    <x v="0"/>
    <s v="WINTER15"/>
    <x v="1"/>
    <n v="138.33000000000001"/>
    <n v="92.22"/>
  </r>
  <r>
    <s v="ORD200632"/>
    <x v="468"/>
    <s v="C67260"/>
    <x v="5"/>
    <n v="5"/>
    <n v="678.16"/>
    <s v="463 Main St"/>
    <x v="3"/>
    <x v="3"/>
    <s v="TRK38229104"/>
    <n v="7"/>
    <x v="0"/>
    <s v="WINTER15"/>
    <x v="3"/>
    <n v="3390.8"/>
    <n v="1356.32"/>
  </r>
  <r>
    <s v="ORD200633"/>
    <x v="294"/>
    <s v="C79533"/>
    <x v="5"/>
    <n v="5"/>
    <n v="601.72"/>
    <s v="921 Main St"/>
    <x v="3"/>
    <x v="1"/>
    <s v="TRK54711422"/>
    <n v="5"/>
    <x v="5"/>
    <s v="WINTER15"/>
    <x v="0"/>
    <n v="3008.6"/>
    <n v="0"/>
  </r>
  <r>
    <s v="ORD200634"/>
    <x v="313"/>
    <s v="C66906"/>
    <x v="4"/>
    <n v="2"/>
    <n v="259.32"/>
    <s v="117 Main St"/>
    <x v="3"/>
    <x v="3"/>
    <s v="TRK31633755"/>
    <n v="2"/>
    <x v="5"/>
    <s v="WINTER15"/>
    <x v="1"/>
    <n v="518.64"/>
    <n v="0"/>
  </r>
  <r>
    <s v="ORD200635"/>
    <x v="141"/>
    <s v="C12818"/>
    <x v="3"/>
    <n v="3"/>
    <n v="63.68"/>
    <s v="434 Main St"/>
    <x v="4"/>
    <x v="2"/>
    <s v="TRK40879983"/>
    <n v="6"/>
    <x v="2"/>
    <s v="NO-DISCOUNT"/>
    <x v="3"/>
    <n v="191.04"/>
    <n v="191.04"/>
  </r>
  <r>
    <s v="ORD200636"/>
    <x v="469"/>
    <s v="C60384"/>
    <x v="5"/>
    <n v="4"/>
    <n v="371.07"/>
    <s v="336 Main St"/>
    <x v="4"/>
    <x v="1"/>
    <s v="TRK92080037"/>
    <n v="7"/>
    <x v="2"/>
    <s v="WINTER15"/>
    <x v="3"/>
    <n v="1484.28"/>
    <n v="1113.21"/>
  </r>
  <r>
    <s v="ORD200637"/>
    <x v="470"/>
    <s v="C92294"/>
    <x v="3"/>
    <n v="4"/>
    <n v="306.35000000000002"/>
    <s v="784 Main St"/>
    <x v="3"/>
    <x v="0"/>
    <s v="TRK23585765"/>
    <n v="7"/>
    <x v="2"/>
    <s v="WINTER15"/>
    <x v="1"/>
    <n v="1225.4000000000001"/>
    <n v="919.05000000000007"/>
  </r>
  <r>
    <s v="ORD200638"/>
    <x v="3"/>
    <s v="C66840"/>
    <x v="2"/>
    <n v="4"/>
    <n v="578.27"/>
    <s v="547 Main St"/>
    <x v="1"/>
    <x v="3"/>
    <s v="TRK76929637"/>
    <n v="9"/>
    <x v="4"/>
    <s v="WINTER15"/>
    <x v="2"/>
    <n v="2313.08"/>
    <n v="2891.35"/>
  </r>
  <r>
    <s v="ORD200639"/>
    <x v="325"/>
    <s v="C22534"/>
    <x v="3"/>
    <n v="1"/>
    <n v="529.19000000000005"/>
    <s v="391 Main St"/>
    <x v="4"/>
    <x v="1"/>
    <s v="TRK17415798"/>
    <n v="5"/>
    <x v="3"/>
    <s v="NO-DISCOUNT"/>
    <x v="1"/>
    <n v="529.19000000000005"/>
    <n v="2116.7600000000002"/>
  </r>
  <r>
    <s v="ORD200640"/>
    <x v="2"/>
    <s v="C46509"/>
    <x v="3"/>
    <n v="2"/>
    <n v="587.49"/>
    <s v="647 Main St"/>
    <x v="3"/>
    <x v="2"/>
    <s v="TRK24241664"/>
    <n v="6"/>
    <x v="3"/>
    <s v="SAVE10"/>
    <x v="1"/>
    <n v="1174.98"/>
    <n v="2349.96"/>
  </r>
  <r>
    <s v="ORD200641"/>
    <x v="471"/>
    <s v="C71680"/>
    <x v="4"/>
    <n v="4"/>
    <n v="567.57000000000005"/>
    <s v="814 Main St"/>
    <x v="0"/>
    <x v="4"/>
    <s v="TRK47386650"/>
    <n v="9"/>
    <x v="4"/>
    <s v="WINTER15"/>
    <x v="4"/>
    <n v="2270.2800000000002"/>
    <n v="2837.8500000000004"/>
  </r>
  <r>
    <s v="ORD200642"/>
    <x v="472"/>
    <s v="C15063"/>
    <x v="3"/>
    <n v="5"/>
    <n v="85.22"/>
    <s v="527 Main St"/>
    <x v="2"/>
    <x v="1"/>
    <s v="TRK10329390"/>
    <n v="7"/>
    <x v="0"/>
    <s v="FREESHIP"/>
    <x v="2"/>
    <n v="426.1"/>
    <n v="170.44"/>
  </r>
  <r>
    <s v="ORD200643"/>
    <x v="360"/>
    <s v="C77122"/>
    <x v="5"/>
    <n v="1"/>
    <n v="438.37"/>
    <s v="647 Main St"/>
    <x v="4"/>
    <x v="1"/>
    <s v="TRK75814880"/>
    <n v="4"/>
    <x v="2"/>
    <s v="SAVE10"/>
    <x v="1"/>
    <n v="438.37"/>
    <n v="1315.1100000000001"/>
  </r>
  <r>
    <s v="ORD200644"/>
    <x v="375"/>
    <s v="C86524"/>
    <x v="3"/>
    <n v="2"/>
    <n v="366.23"/>
    <s v="961 Main St"/>
    <x v="4"/>
    <x v="0"/>
    <s v="TRK62490506"/>
    <n v="2"/>
    <x v="5"/>
    <s v="WINTER15"/>
    <x v="2"/>
    <n v="732.46"/>
    <n v="0"/>
  </r>
  <r>
    <s v="ORD200645"/>
    <x v="315"/>
    <s v="C82990"/>
    <x v="5"/>
    <n v="2"/>
    <n v="150.05000000000001"/>
    <s v="727 Main St"/>
    <x v="2"/>
    <x v="1"/>
    <s v="TRK68574801"/>
    <n v="4"/>
    <x v="0"/>
    <s v="SAVE10"/>
    <x v="3"/>
    <n v="300.10000000000002"/>
    <n v="300.10000000000002"/>
  </r>
  <r>
    <s v="ORD200646"/>
    <x v="122"/>
    <s v="C98761"/>
    <x v="3"/>
    <n v="4"/>
    <n v="498.51"/>
    <s v="804 Main St"/>
    <x v="0"/>
    <x v="0"/>
    <s v="TRK43262630"/>
    <n v="4"/>
    <x v="5"/>
    <s v="SAVE10"/>
    <x v="4"/>
    <n v="1994.04"/>
    <n v="0"/>
  </r>
  <r>
    <s v="ORD200647"/>
    <x v="473"/>
    <s v="C54409"/>
    <x v="6"/>
    <n v="3"/>
    <n v="339.39"/>
    <s v="667 Main St"/>
    <x v="4"/>
    <x v="2"/>
    <s v="TRK67671316"/>
    <n v="7"/>
    <x v="3"/>
    <s v="FREESHIP"/>
    <x v="4"/>
    <n v="1018.17"/>
    <n v="1357.56"/>
  </r>
  <r>
    <s v="ORD200648"/>
    <x v="474"/>
    <s v="C89674"/>
    <x v="0"/>
    <n v="2"/>
    <n v="575.83000000000004"/>
    <s v="182 Main St"/>
    <x v="1"/>
    <x v="3"/>
    <s v="TRK45902512"/>
    <n v="3"/>
    <x v="1"/>
    <s v="WINTER15"/>
    <x v="1"/>
    <n v="1151.6600000000001"/>
    <n v="575.83000000000004"/>
  </r>
  <r>
    <s v="ORD200649"/>
    <x v="475"/>
    <s v="C45899"/>
    <x v="0"/>
    <n v="2"/>
    <n v="642.98"/>
    <s v="153 Main St"/>
    <x v="0"/>
    <x v="2"/>
    <s v="TRK32932093"/>
    <n v="7"/>
    <x v="4"/>
    <s v="FREESHIP"/>
    <x v="2"/>
    <n v="1285.96"/>
    <n v="3214.9"/>
  </r>
  <r>
    <s v="ORD200650"/>
    <x v="419"/>
    <s v="C74499"/>
    <x v="6"/>
    <n v="2"/>
    <n v="372.23"/>
    <s v="518 Main St"/>
    <x v="3"/>
    <x v="3"/>
    <s v="TRK93767278"/>
    <n v="7"/>
    <x v="4"/>
    <s v="SAVE10"/>
    <x v="2"/>
    <n v="744.46"/>
    <n v="1861.15"/>
  </r>
  <r>
    <s v="ORD200651"/>
    <x v="476"/>
    <s v="C81192"/>
    <x v="3"/>
    <n v="3"/>
    <n v="646.34"/>
    <s v="429 Main St"/>
    <x v="0"/>
    <x v="4"/>
    <s v="TRK76931118"/>
    <n v="5"/>
    <x v="0"/>
    <s v="NO-DISCOUNT"/>
    <x v="4"/>
    <n v="1939.02"/>
    <n v="1292.68"/>
  </r>
  <r>
    <s v="ORD200652"/>
    <x v="477"/>
    <s v="C71473"/>
    <x v="3"/>
    <n v="5"/>
    <n v="341.84"/>
    <s v="328 Main St"/>
    <x v="1"/>
    <x v="0"/>
    <s v="TRK94857335"/>
    <n v="8"/>
    <x v="2"/>
    <s v="FREESHIP"/>
    <x v="0"/>
    <n v="1709.2"/>
    <n v="1025.52"/>
  </r>
  <r>
    <s v="ORD200653"/>
    <x v="402"/>
    <s v="C59338"/>
    <x v="4"/>
    <n v="3"/>
    <n v="690.3"/>
    <s v="747 Main St"/>
    <x v="2"/>
    <x v="0"/>
    <s v="TRK12902764"/>
    <n v="6"/>
    <x v="2"/>
    <s v="WINTER15"/>
    <x v="4"/>
    <n v="2070.9"/>
    <n v="2070.8999999999996"/>
  </r>
  <r>
    <s v="ORD200654"/>
    <x v="439"/>
    <s v="C62661"/>
    <x v="2"/>
    <n v="3"/>
    <n v="382.37"/>
    <s v="863 Main St"/>
    <x v="0"/>
    <x v="2"/>
    <s v="TRK25748100"/>
    <n v="8"/>
    <x v="4"/>
    <s v="NO-DISCOUNT"/>
    <x v="0"/>
    <n v="1147.1099999999999"/>
    <n v="1911.85"/>
  </r>
  <r>
    <s v="ORD200655"/>
    <x v="369"/>
    <s v="C22101"/>
    <x v="3"/>
    <n v="2"/>
    <n v="132.6"/>
    <s v="262 Main St"/>
    <x v="0"/>
    <x v="1"/>
    <s v="TRK70711522"/>
    <n v="4"/>
    <x v="0"/>
    <s v="WINTER15"/>
    <x v="2"/>
    <n v="265.2"/>
    <n v="265.2"/>
  </r>
  <r>
    <s v="ORD200656"/>
    <x v="343"/>
    <s v="C51404"/>
    <x v="0"/>
    <n v="2"/>
    <n v="189.06"/>
    <s v="835 Main St"/>
    <x v="3"/>
    <x v="0"/>
    <s v="TRK85682500"/>
    <n v="7"/>
    <x v="4"/>
    <s v="SAVE10"/>
    <x v="3"/>
    <n v="378.12"/>
    <n v="945.3"/>
  </r>
  <r>
    <s v="ORD200657"/>
    <x v="478"/>
    <s v="C19384"/>
    <x v="2"/>
    <n v="4"/>
    <n v="87.79"/>
    <s v="532 Main St"/>
    <x v="4"/>
    <x v="1"/>
    <s v="TRK33207064"/>
    <n v="6"/>
    <x v="0"/>
    <s v="FREESHIP"/>
    <x v="0"/>
    <n v="351.16"/>
    <n v="175.58"/>
  </r>
  <r>
    <s v="ORD200658"/>
    <x v="479"/>
    <s v="C86864"/>
    <x v="4"/>
    <n v="2"/>
    <n v="46.36"/>
    <s v="670 Main St"/>
    <x v="3"/>
    <x v="2"/>
    <s v="TRK15323191"/>
    <n v="4"/>
    <x v="0"/>
    <s v="SAVE10"/>
    <x v="4"/>
    <n v="92.72"/>
    <n v="92.72"/>
  </r>
  <r>
    <s v="ORD200659"/>
    <x v="480"/>
    <s v="C24301"/>
    <x v="1"/>
    <n v="2"/>
    <n v="642.04"/>
    <s v="964 Main St"/>
    <x v="3"/>
    <x v="3"/>
    <s v="TRK55000075"/>
    <n v="4"/>
    <x v="0"/>
    <s v="WINTER15"/>
    <x v="2"/>
    <n v="1284.08"/>
    <n v="1284.08"/>
  </r>
  <r>
    <s v="ORD200660"/>
    <x v="481"/>
    <s v="C43842"/>
    <x v="3"/>
    <n v="2"/>
    <n v="651.57000000000005"/>
    <s v="933 Main St"/>
    <x v="0"/>
    <x v="0"/>
    <s v="TRK54084424"/>
    <n v="7"/>
    <x v="4"/>
    <s v="WINTER15"/>
    <x v="3"/>
    <n v="1303.1400000000001"/>
    <n v="3257.8500000000004"/>
  </r>
  <r>
    <s v="ORD200661"/>
    <x v="252"/>
    <s v="C63657"/>
    <x v="2"/>
    <n v="3"/>
    <n v="424.89"/>
    <s v="116 Main St"/>
    <x v="0"/>
    <x v="1"/>
    <s v="TRK86378984"/>
    <n v="6"/>
    <x v="2"/>
    <s v="FREESHIP"/>
    <x v="4"/>
    <n v="1274.67"/>
    <n v="1274.67"/>
  </r>
  <r>
    <s v="ORD200662"/>
    <x v="423"/>
    <s v="C98332"/>
    <x v="5"/>
    <n v="3"/>
    <n v="438.89"/>
    <s v="985 Main St"/>
    <x v="4"/>
    <x v="2"/>
    <s v="TRK85744797"/>
    <n v="3"/>
    <x v="5"/>
    <s v="NO-DISCOUNT"/>
    <x v="3"/>
    <n v="1316.67"/>
    <n v="0"/>
  </r>
  <r>
    <s v="ORD200663"/>
    <x v="116"/>
    <s v="C59774"/>
    <x v="0"/>
    <n v="1"/>
    <n v="72.599999999999994"/>
    <s v="941 Main St"/>
    <x v="0"/>
    <x v="1"/>
    <s v="TRK87635135"/>
    <n v="6"/>
    <x v="4"/>
    <s v="FREESHIP"/>
    <x v="0"/>
    <n v="72.599999999999994"/>
    <n v="363"/>
  </r>
  <r>
    <s v="ORD200664"/>
    <x v="36"/>
    <s v="C14847"/>
    <x v="5"/>
    <n v="4"/>
    <n v="194.75"/>
    <s v="188 Main St"/>
    <x v="4"/>
    <x v="0"/>
    <s v="TRK46492755"/>
    <n v="5"/>
    <x v="1"/>
    <s v="NO-DISCOUNT"/>
    <x v="3"/>
    <n v="779"/>
    <n v="194.75"/>
  </r>
  <r>
    <s v="ORD200665"/>
    <x v="468"/>
    <s v="C83653"/>
    <x v="2"/>
    <n v="4"/>
    <n v="231.26"/>
    <s v="253 Main St"/>
    <x v="1"/>
    <x v="0"/>
    <s v="TRK32619935"/>
    <n v="6"/>
    <x v="0"/>
    <s v="WINTER15"/>
    <x v="4"/>
    <n v="925.04"/>
    <n v="462.52"/>
  </r>
  <r>
    <s v="ORD200666"/>
    <x v="169"/>
    <s v="C35711"/>
    <x v="0"/>
    <n v="4"/>
    <n v="327.12"/>
    <s v="788 Main St"/>
    <x v="2"/>
    <x v="1"/>
    <s v="TRK45281495"/>
    <n v="4"/>
    <x v="5"/>
    <s v="NO-DISCOUNT"/>
    <x v="2"/>
    <n v="1308.48"/>
    <n v="0"/>
  </r>
  <r>
    <s v="ORD200667"/>
    <x v="71"/>
    <s v="C10477"/>
    <x v="5"/>
    <n v="1"/>
    <n v="466.42"/>
    <s v="172 Main St"/>
    <x v="3"/>
    <x v="4"/>
    <s v="TRK41505339"/>
    <n v="5"/>
    <x v="3"/>
    <s v="SAVE10"/>
    <x v="2"/>
    <n v="466.42"/>
    <n v="1865.68"/>
  </r>
  <r>
    <s v="ORD200668"/>
    <x v="482"/>
    <s v="C61257"/>
    <x v="0"/>
    <n v="2"/>
    <n v="253.67"/>
    <s v="981 Main St"/>
    <x v="4"/>
    <x v="2"/>
    <s v="TRK25226070"/>
    <n v="3"/>
    <x v="1"/>
    <s v="WINTER15"/>
    <x v="3"/>
    <n v="507.34"/>
    <n v="253.67"/>
  </r>
  <r>
    <s v="ORD200669"/>
    <x v="483"/>
    <s v="C60547"/>
    <x v="6"/>
    <n v="1"/>
    <n v="257"/>
    <s v="812 Main St"/>
    <x v="0"/>
    <x v="1"/>
    <s v="TRK65694249"/>
    <n v="5"/>
    <x v="3"/>
    <s v="NO-DISCOUNT"/>
    <x v="1"/>
    <n v="257"/>
    <n v="1028"/>
  </r>
  <r>
    <s v="ORD200670"/>
    <x v="171"/>
    <s v="C14576"/>
    <x v="6"/>
    <n v="4"/>
    <n v="539.20000000000005"/>
    <s v="747 Main St"/>
    <x v="2"/>
    <x v="4"/>
    <s v="TRK21637540"/>
    <n v="8"/>
    <x v="3"/>
    <s v="FREESHIP"/>
    <x v="4"/>
    <n v="2156.8000000000002"/>
    <n v="2156.8000000000002"/>
  </r>
  <r>
    <s v="ORD200671"/>
    <x v="484"/>
    <s v="C49282"/>
    <x v="3"/>
    <n v="5"/>
    <n v="50.74"/>
    <s v="737 Main St"/>
    <x v="3"/>
    <x v="1"/>
    <s v="TRK88653901"/>
    <n v="7"/>
    <x v="0"/>
    <s v="WINTER15"/>
    <x v="4"/>
    <n v="253.7"/>
    <n v="101.48"/>
  </r>
  <r>
    <s v="ORD200672"/>
    <x v="221"/>
    <s v="C14017"/>
    <x v="1"/>
    <n v="2"/>
    <n v="624.16"/>
    <s v="984 Main St"/>
    <x v="0"/>
    <x v="0"/>
    <s v="TRK71009446"/>
    <n v="2"/>
    <x v="5"/>
    <s v="SAVE10"/>
    <x v="0"/>
    <n v="1248.32"/>
    <n v="0"/>
  </r>
  <r>
    <s v="ORD200673"/>
    <x v="485"/>
    <s v="C46504"/>
    <x v="2"/>
    <n v="2"/>
    <n v="372.92"/>
    <s v="131 Main St"/>
    <x v="2"/>
    <x v="3"/>
    <s v="TRK95024356"/>
    <n v="7"/>
    <x v="4"/>
    <s v="SAVE10"/>
    <x v="2"/>
    <n v="745.84"/>
    <n v="1864.6000000000001"/>
  </r>
  <r>
    <s v="ORD200674"/>
    <x v="486"/>
    <s v="C56928"/>
    <x v="5"/>
    <n v="4"/>
    <n v="358.75"/>
    <s v="860 Main St"/>
    <x v="3"/>
    <x v="3"/>
    <s v="TRK57792939"/>
    <n v="9"/>
    <x v="4"/>
    <s v="SAVE10"/>
    <x v="3"/>
    <n v="1435"/>
    <n v="1793.75"/>
  </r>
  <r>
    <s v="ORD200675"/>
    <x v="76"/>
    <s v="C97749"/>
    <x v="6"/>
    <n v="3"/>
    <n v="342.02"/>
    <s v="906 Main St"/>
    <x v="0"/>
    <x v="4"/>
    <s v="TRK90233116"/>
    <n v="5"/>
    <x v="0"/>
    <s v="NO-DISCOUNT"/>
    <x v="2"/>
    <n v="1026.06"/>
    <n v="684.04"/>
  </r>
  <r>
    <s v="ORD200676"/>
    <x v="127"/>
    <s v="C90431"/>
    <x v="5"/>
    <n v="2"/>
    <n v="422.34"/>
    <s v="985 Main St"/>
    <x v="2"/>
    <x v="1"/>
    <s v="TRK44151723"/>
    <n v="4"/>
    <x v="0"/>
    <s v="FREESHIP"/>
    <x v="0"/>
    <n v="844.68"/>
    <n v="844.68"/>
  </r>
  <r>
    <s v="ORD200677"/>
    <x v="487"/>
    <s v="C56722"/>
    <x v="2"/>
    <n v="5"/>
    <n v="22.07"/>
    <s v="179 Main St"/>
    <x v="1"/>
    <x v="1"/>
    <s v="TRK78778569"/>
    <n v="7"/>
    <x v="0"/>
    <s v="FREESHIP"/>
    <x v="0"/>
    <n v="110.35"/>
    <n v="44.14"/>
  </r>
  <r>
    <s v="ORD200678"/>
    <x v="167"/>
    <s v="C40863"/>
    <x v="3"/>
    <n v="3"/>
    <n v="163.13"/>
    <s v="457 Main St"/>
    <x v="3"/>
    <x v="0"/>
    <s v="TRK20553345"/>
    <n v="5"/>
    <x v="0"/>
    <s v="WINTER15"/>
    <x v="3"/>
    <n v="489.39"/>
    <n v="326.26"/>
  </r>
  <r>
    <s v="ORD200679"/>
    <x v="488"/>
    <s v="C40798"/>
    <x v="2"/>
    <n v="3"/>
    <n v="360.66"/>
    <s v="304 Main St"/>
    <x v="1"/>
    <x v="2"/>
    <s v="TRK66106697"/>
    <n v="5"/>
    <x v="0"/>
    <s v="FREESHIP"/>
    <x v="0"/>
    <n v="1081.98"/>
    <n v="721.32"/>
  </r>
  <r>
    <s v="ORD200680"/>
    <x v="183"/>
    <s v="C16702"/>
    <x v="0"/>
    <n v="3"/>
    <n v="463.39"/>
    <s v="694 Main St"/>
    <x v="2"/>
    <x v="2"/>
    <s v="TRK16953491"/>
    <n v="3"/>
    <x v="5"/>
    <s v="NO-DISCOUNT"/>
    <x v="3"/>
    <n v="1390.17"/>
    <n v="0"/>
  </r>
  <r>
    <s v="ORD200681"/>
    <x v="489"/>
    <s v="C38262"/>
    <x v="2"/>
    <n v="1"/>
    <n v="155.27000000000001"/>
    <s v="548 Main St"/>
    <x v="0"/>
    <x v="0"/>
    <s v="TRK47300502"/>
    <n v="6"/>
    <x v="4"/>
    <s v="NO-DISCOUNT"/>
    <x v="2"/>
    <n v="155.27000000000001"/>
    <n v="776.35"/>
  </r>
  <r>
    <s v="ORD200682"/>
    <x v="363"/>
    <s v="C50274"/>
    <x v="0"/>
    <n v="3"/>
    <n v="509.42"/>
    <s v="449 Main St"/>
    <x v="2"/>
    <x v="1"/>
    <s v="TRK91729086"/>
    <n v="5"/>
    <x v="0"/>
    <s v="FREESHIP"/>
    <x v="4"/>
    <n v="1528.26"/>
    <n v="1018.84"/>
  </r>
  <r>
    <s v="ORD200683"/>
    <x v="490"/>
    <s v="C91591"/>
    <x v="6"/>
    <n v="4"/>
    <n v="652.48"/>
    <s v="887 Main St"/>
    <x v="4"/>
    <x v="4"/>
    <s v="TRK23554043"/>
    <n v="5"/>
    <x v="1"/>
    <s v="FREESHIP"/>
    <x v="0"/>
    <n v="2609.92"/>
    <n v="652.48"/>
  </r>
  <r>
    <s v="ORD200684"/>
    <x v="491"/>
    <s v="C96583"/>
    <x v="4"/>
    <n v="4"/>
    <n v="34.840000000000003"/>
    <s v="288 Main St"/>
    <x v="2"/>
    <x v="0"/>
    <s v="TRK64353241"/>
    <n v="8"/>
    <x v="3"/>
    <s v="NO-DISCOUNT"/>
    <x v="2"/>
    <n v="139.36000000000001"/>
    <n v="139.36000000000001"/>
  </r>
  <r>
    <s v="ORD200685"/>
    <x v="492"/>
    <s v="C64579"/>
    <x v="6"/>
    <n v="1"/>
    <n v="234.37"/>
    <s v="638 Main St"/>
    <x v="0"/>
    <x v="0"/>
    <s v="TRK10276565"/>
    <n v="5"/>
    <x v="3"/>
    <s v="FREESHIP"/>
    <x v="2"/>
    <n v="234.37"/>
    <n v="937.48"/>
  </r>
  <r>
    <s v="ORD200686"/>
    <x v="112"/>
    <s v="C41903"/>
    <x v="6"/>
    <n v="3"/>
    <n v="53.6"/>
    <s v="525 Main St"/>
    <x v="4"/>
    <x v="4"/>
    <s v="TRK59112382"/>
    <n v="4"/>
    <x v="1"/>
    <s v="WINTER15"/>
    <x v="3"/>
    <n v="160.80000000000001"/>
    <n v="53.6"/>
  </r>
  <r>
    <s v="ORD200687"/>
    <x v="493"/>
    <s v="C19742"/>
    <x v="2"/>
    <n v="1"/>
    <n v="332.09"/>
    <s v="408 Main St"/>
    <x v="3"/>
    <x v="2"/>
    <s v="TRK68845230"/>
    <n v="5"/>
    <x v="3"/>
    <s v="FREESHIP"/>
    <x v="0"/>
    <n v="332.09"/>
    <n v="1328.36"/>
  </r>
  <r>
    <s v="ORD200688"/>
    <x v="26"/>
    <s v="C20077"/>
    <x v="0"/>
    <n v="4"/>
    <n v="593.22"/>
    <s v="154 Main St"/>
    <x v="2"/>
    <x v="1"/>
    <s v="TRK36415742"/>
    <n v="8"/>
    <x v="3"/>
    <s v="WINTER15"/>
    <x v="3"/>
    <n v="2372.88"/>
    <n v="2372.88"/>
  </r>
  <r>
    <s v="ORD200689"/>
    <x v="193"/>
    <s v="C13186"/>
    <x v="2"/>
    <n v="2"/>
    <n v="444.84"/>
    <s v="787 Main St"/>
    <x v="1"/>
    <x v="0"/>
    <s v="TRK56967415"/>
    <n v="7"/>
    <x v="4"/>
    <s v="NO-DISCOUNT"/>
    <x v="3"/>
    <n v="889.68"/>
    <n v="2224.1999999999998"/>
  </r>
  <r>
    <s v="ORD200690"/>
    <x v="494"/>
    <s v="C29318"/>
    <x v="0"/>
    <n v="1"/>
    <n v="24.48"/>
    <s v="128 Main St"/>
    <x v="3"/>
    <x v="2"/>
    <s v="TRK88666721"/>
    <n v="1"/>
    <x v="5"/>
    <s v="NO-DISCOUNT"/>
    <x v="0"/>
    <n v="24.48"/>
    <n v="0"/>
  </r>
  <r>
    <s v="ORD200691"/>
    <x v="167"/>
    <s v="C36137"/>
    <x v="5"/>
    <n v="3"/>
    <n v="239.08"/>
    <s v="396 Main St"/>
    <x v="4"/>
    <x v="0"/>
    <s v="TRK57376416"/>
    <n v="8"/>
    <x v="4"/>
    <s v="NO-DISCOUNT"/>
    <x v="4"/>
    <n v="717.24"/>
    <n v="1195.4000000000001"/>
  </r>
  <r>
    <s v="ORD200692"/>
    <x v="19"/>
    <s v="C25534"/>
    <x v="6"/>
    <n v="5"/>
    <n v="196.84"/>
    <s v="319 Main St"/>
    <x v="2"/>
    <x v="3"/>
    <s v="TRK68347402"/>
    <n v="5"/>
    <x v="5"/>
    <s v="WINTER15"/>
    <x v="0"/>
    <n v="984.2"/>
    <n v="0"/>
  </r>
  <r>
    <s v="ORD200693"/>
    <x v="495"/>
    <s v="C62070"/>
    <x v="0"/>
    <n v="1"/>
    <n v="176.58"/>
    <s v="674 Main St"/>
    <x v="0"/>
    <x v="2"/>
    <s v="TRK10267127"/>
    <n v="4"/>
    <x v="2"/>
    <s v="NO-DISCOUNT"/>
    <x v="1"/>
    <n v="176.58"/>
    <n v="529.74"/>
  </r>
  <r>
    <s v="ORD200694"/>
    <x v="276"/>
    <s v="C92049"/>
    <x v="4"/>
    <n v="4"/>
    <n v="666.52"/>
    <s v="619 Main St"/>
    <x v="4"/>
    <x v="0"/>
    <s v="TRK32287092"/>
    <n v="8"/>
    <x v="3"/>
    <s v="FREESHIP"/>
    <x v="2"/>
    <n v="2666.08"/>
    <n v="2666.08"/>
  </r>
  <r>
    <s v="ORD200695"/>
    <x v="432"/>
    <s v="C52604"/>
    <x v="4"/>
    <n v="5"/>
    <n v="101.3"/>
    <s v="553 Main St"/>
    <x v="1"/>
    <x v="0"/>
    <s v="TRK48839788"/>
    <n v="7"/>
    <x v="0"/>
    <s v="FREESHIP"/>
    <x v="2"/>
    <n v="506.5"/>
    <n v="202.6"/>
  </r>
  <r>
    <s v="ORD200696"/>
    <x v="226"/>
    <s v="C22429"/>
    <x v="3"/>
    <n v="4"/>
    <n v="151.19999999999999"/>
    <s v="965 Main St"/>
    <x v="3"/>
    <x v="4"/>
    <s v="TRK38572927"/>
    <n v="9"/>
    <x v="4"/>
    <s v="WINTER15"/>
    <x v="3"/>
    <n v="604.79999999999995"/>
    <n v="756"/>
  </r>
  <r>
    <s v="ORD200697"/>
    <x v="496"/>
    <s v="C27430"/>
    <x v="4"/>
    <n v="5"/>
    <n v="94.85"/>
    <s v="788 Main St"/>
    <x v="4"/>
    <x v="0"/>
    <s v="TRK45025840"/>
    <n v="6"/>
    <x v="1"/>
    <s v="WINTER15"/>
    <x v="2"/>
    <n v="474.25"/>
    <n v="94.85"/>
  </r>
  <r>
    <s v="ORD200698"/>
    <x v="0"/>
    <s v="C44366"/>
    <x v="5"/>
    <n v="2"/>
    <n v="388.22"/>
    <s v="169 Main St"/>
    <x v="4"/>
    <x v="3"/>
    <s v="TRK48658394"/>
    <n v="2"/>
    <x v="5"/>
    <s v="WINTER15"/>
    <x v="0"/>
    <n v="776.44"/>
    <n v="0"/>
  </r>
  <r>
    <s v="ORD200699"/>
    <x v="497"/>
    <s v="C36813"/>
    <x v="5"/>
    <n v="3"/>
    <n v="614.15"/>
    <s v="897 Main St"/>
    <x v="3"/>
    <x v="1"/>
    <s v="TRK84088900"/>
    <n v="3"/>
    <x v="5"/>
    <s v="NO-DISCOUNT"/>
    <x v="3"/>
    <n v="1842.45"/>
    <n v="0"/>
  </r>
  <r>
    <s v="ORD200700"/>
    <x v="498"/>
    <s v="C40201"/>
    <x v="5"/>
    <n v="2"/>
    <n v="92.91"/>
    <s v="555 Main St"/>
    <x v="4"/>
    <x v="2"/>
    <s v="TRK30198779"/>
    <n v="3"/>
    <x v="1"/>
    <s v="WINTER15"/>
    <x v="0"/>
    <n v="185.82"/>
    <n v="92.91"/>
  </r>
  <r>
    <s v="ORD200701"/>
    <x v="499"/>
    <s v="C75456"/>
    <x v="0"/>
    <n v="3"/>
    <n v="92.22"/>
    <s v="115 Main St"/>
    <x v="2"/>
    <x v="3"/>
    <s v="TRK90519490"/>
    <n v="5"/>
    <x v="0"/>
    <s v="FREESHIP"/>
    <x v="2"/>
    <n v="276.66000000000003"/>
    <n v="184.44"/>
  </r>
  <r>
    <s v="ORD200702"/>
    <x v="410"/>
    <s v="C33315"/>
    <x v="4"/>
    <n v="3"/>
    <n v="562.54999999999995"/>
    <s v="154 Main St"/>
    <x v="0"/>
    <x v="2"/>
    <s v="TRK43589369"/>
    <n v="6"/>
    <x v="2"/>
    <s v="NO-DISCOUNT"/>
    <x v="2"/>
    <n v="1687.65"/>
    <n v="1687.6499999999999"/>
  </r>
  <r>
    <s v="ORD200703"/>
    <x v="500"/>
    <s v="C89336"/>
    <x v="6"/>
    <n v="1"/>
    <n v="92.79"/>
    <s v="799 Main St"/>
    <x v="4"/>
    <x v="4"/>
    <s v="TRK47665103"/>
    <n v="3"/>
    <x v="0"/>
    <s v="WINTER15"/>
    <x v="2"/>
    <n v="92.79"/>
    <n v="185.58"/>
  </r>
  <r>
    <s v="ORD200704"/>
    <x v="301"/>
    <s v="C96034"/>
    <x v="6"/>
    <n v="4"/>
    <n v="30.27"/>
    <s v="819 Main St"/>
    <x v="1"/>
    <x v="3"/>
    <s v="TRK87261034"/>
    <n v="9"/>
    <x v="4"/>
    <s v="FREESHIP"/>
    <x v="4"/>
    <n v="121.08"/>
    <n v="151.35"/>
  </r>
  <r>
    <s v="ORD200705"/>
    <x v="501"/>
    <s v="C50114"/>
    <x v="0"/>
    <n v="2"/>
    <n v="49.08"/>
    <s v="420 Main St"/>
    <x v="0"/>
    <x v="2"/>
    <s v="TRK20214786"/>
    <n v="7"/>
    <x v="4"/>
    <s v="FREESHIP"/>
    <x v="0"/>
    <n v="98.16"/>
    <n v="245.39999999999998"/>
  </r>
  <r>
    <s v="ORD200706"/>
    <x v="380"/>
    <s v="C85330"/>
    <x v="6"/>
    <n v="5"/>
    <n v="228.09"/>
    <s v="969 Main St"/>
    <x v="3"/>
    <x v="2"/>
    <s v="TRK97693301"/>
    <n v="9"/>
    <x v="3"/>
    <s v="FREESHIP"/>
    <x v="3"/>
    <n v="1140.45"/>
    <n v="912.36"/>
  </r>
  <r>
    <s v="ORD200707"/>
    <x v="377"/>
    <s v="C31761"/>
    <x v="3"/>
    <n v="4"/>
    <n v="650.04"/>
    <s v="989 Main St"/>
    <x v="3"/>
    <x v="1"/>
    <s v="TRK17628852"/>
    <n v="6"/>
    <x v="0"/>
    <s v="SAVE10"/>
    <x v="3"/>
    <n v="2600.16"/>
    <n v="1300.08"/>
  </r>
  <r>
    <s v="ORD200708"/>
    <x v="155"/>
    <s v="C25268"/>
    <x v="4"/>
    <n v="1"/>
    <n v="665.11"/>
    <s v="788 Main St"/>
    <x v="4"/>
    <x v="4"/>
    <s v="TRK20481215"/>
    <n v="3"/>
    <x v="0"/>
    <s v="FREESHIP"/>
    <x v="0"/>
    <n v="665.11"/>
    <n v="1330.22"/>
  </r>
  <r>
    <s v="ORD200709"/>
    <x v="34"/>
    <s v="C17132"/>
    <x v="6"/>
    <n v="1"/>
    <n v="386.03"/>
    <s v="855 Main St"/>
    <x v="1"/>
    <x v="4"/>
    <s v="TRK37504692"/>
    <n v="4"/>
    <x v="2"/>
    <s v="FREESHIP"/>
    <x v="4"/>
    <n v="386.03"/>
    <n v="1158.0899999999999"/>
  </r>
  <r>
    <s v="ORD200710"/>
    <x v="319"/>
    <s v="C48790"/>
    <x v="5"/>
    <n v="5"/>
    <n v="21.54"/>
    <s v="113 Main St"/>
    <x v="3"/>
    <x v="2"/>
    <s v="TRK19086608"/>
    <n v="10"/>
    <x v="4"/>
    <s v="NO-DISCOUNT"/>
    <x v="4"/>
    <n v="107.7"/>
    <n v="107.69999999999999"/>
  </r>
  <r>
    <s v="ORD200711"/>
    <x v="502"/>
    <s v="C61070"/>
    <x v="2"/>
    <n v="2"/>
    <n v="475.78"/>
    <s v="632 Main St"/>
    <x v="1"/>
    <x v="0"/>
    <s v="TRK90764894"/>
    <n v="2"/>
    <x v="5"/>
    <s v="WINTER15"/>
    <x v="4"/>
    <n v="951.56"/>
    <n v="0"/>
  </r>
  <r>
    <s v="ORD200712"/>
    <x v="486"/>
    <s v="C56969"/>
    <x v="2"/>
    <n v="2"/>
    <n v="68.400000000000006"/>
    <s v="993 Main St"/>
    <x v="3"/>
    <x v="4"/>
    <s v="TRK10513339"/>
    <n v="7"/>
    <x v="4"/>
    <s v="FREESHIP"/>
    <x v="2"/>
    <n v="136.80000000000001"/>
    <n v="342"/>
  </r>
  <r>
    <s v="ORD200713"/>
    <x v="370"/>
    <s v="C65056"/>
    <x v="2"/>
    <n v="4"/>
    <n v="532.49"/>
    <s v="638 Main St"/>
    <x v="1"/>
    <x v="1"/>
    <s v="TRK31705278"/>
    <n v="6"/>
    <x v="0"/>
    <s v="SAVE10"/>
    <x v="3"/>
    <n v="2129.96"/>
    <n v="1064.98"/>
  </r>
  <r>
    <s v="ORD200714"/>
    <x v="453"/>
    <s v="C84888"/>
    <x v="5"/>
    <n v="1"/>
    <n v="51.73"/>
    <s v="278 Main St"/>
    <x v="0"/>
    <x v="4"/>
    <s v="TRK23612847"/>
    <n v="1"/>
    <x v="5"/>
    <s v="FREESHIP"/>
    <x v="3"/>
    <n v="51.73"/>
    <n v="0"/>
  </r>
  <r>
    <s v="ORD200715"/>
    <x v="503"/>
    <s v="C68266"/>
    <x v="4"/>
    <n v="3"/>
    <n v="653.63"/>
    <s v="281 Main St"/>
    <x v="1"/>
    <x v="3"/>
    <s v="TRK96161062"/>
    <n v="7"/>
    <x v="3"/>
    <s v="FREESHIP"/>
    <x v="2"/>
    <n v="1960.89"/>
    <n v="2614.52"/>
  </r>
  <r>
    <s v="ORD200716"/>
    <x v="136"/>
    <s v="C84115"/>
    <x v="3"/>
    <n v="3"/>
    <n v="454.29"/>
    <s v="891 Main St"/>
    <x v="2"/>
    <x v="4"/>
    <s v="TRK25466842"/>
    <n v="4"/>
    <x v="1"/>
    <s v="WINTER15"/>
    <x v="4"/>
    <n v="1362.87"/>
    <n v="454.29"/>
  </r>
  <r>
    <s v="ORD200717"/>
    <x v="504"/>
    <s v="C50087"/>
    <x v="3"/>
    <n v="3"/>
    <n v="122.11"/>
    <s v="707 Main St"/>
    <x v="1"/>
    <x v="3"/>
    <s v="TRK31143760"/>
    <n v="4"/>
    <x v="1"/>
    <s v="WINTER15"/>
    <x v="2"/>
    <n v="366.33"/>
    <n v="122.11"/>
  </r>
  <r>
    <s v="ORD200718"/>
    <x v="505"/>
    <s v="C16790"/>
    <x v="5"/>
    <n v="4"/>
    <n v="64.739999999999995"/>
    <s v="718 Main St"/>
    <x v="3"/>
    <x v="1"/>
    <s v="TRK91791367"/>
    <n v="8"/>
    <x v="3"/>
    <s v="SAVE10"/>
    <x v="4"/>
    <n v="258.95999999999998"/>
    <n v="258.95999999999998"/>
  </r>
  <r>
    <s v="ORD200719"/>
    <x v="506"/>
    <s v="C46920"/>
    <x v="5"/>
    <n v="2"/>
    <n v="681.06"/>
    <s v="703 Main St"/>
    <x v="0"/>
    <x v="0"/>
    <s v="TRK86403837"/>
    <n v="3"/>
    <x v="1"/>
    <s v="FREESHIP"/>
    <x v="3"/>
    <n v="1362.12"/>
    <n v="681.06"/>
  </r>
  <r>
    <s v="ORD200720"/>
    <x v="507"/>
    <s v="C12740"/>
    <x v="6"/>
    <n v="5"/>
    <n v="128.94999999999999"/>
    <s v="305 Main St"/>
    <x v="4"/>
    <x v="4"/>
    <s v="TRK98506513"/>
    <n v="10"/>
    <x v="4"/>
    <s v="FREESHIP"/>
    <x v="0"/>
    <n v="644.75"/>
    <n v="644.75"/>
  </r>
  <r>
    <s v="ORD200721"/>
    <x v="508"/>
    <s v="C46557"/>
    <x v="6"/>
    <n v="2"/>
    <n v="118.59"/>
    <s v="890 Main St"/>
    <x v="2"/>
    <x v="3"/>
    <s v="TRK56110689"/>
    <n v="2"/>
    <x v="5"/>
    <s v="NO-DISCOUNT"/>
    <x v="2"/>
    <n v="237.18"/>
    <n v="0"/>
  </r>
  <r>
    <s v="ORD200722"/>
    <x v="64"/>
    <s v="C58156"/>
    <x v="4"/>
    <n v="1"/>
    <n v="95.1"/>
    <s v="516 Main St"/>
    <x v="3"/>
    <x v="4"/>
    <s v="TRK49719458"/>
    <n v="1"/>
    <x v="5"/>
    <s v="WINTER15"/>
    <x v="0"/>
    <n v="95.1"/>
    <n v="0"/>
  </r>
  <r>
    <s v="ORD200723"/>
    <x v="509"/>
    <s v="C14455"/>
    <x v="6"/>
    <n v="3"/>
    <n v="54.95"/>
    <s v="385 Main St"/>
    <x v="4"/>
    <x v="2"/>
    <s v="TRK50933724"/>
    <n v="8"/>
    <x v="4"/>
    <s v="SAVE10"/>
    <x v="1"/>
    <n v="164.85"/>
    <n v="274.75"/>
  </r>
  <r>
    <s v="ORD200724"/>
    <x v="266"/>
    <s v="C63150"/>
    <x v="4"/>
    <n v="3"/>
    <n v="136.97"/>
    <s v="326 Main St"/>
    <x v="2"/>
    <x v="2"/>
    <s v="TRK19348078"/>
    <n v="4"/>
    <x v="1"/>
    <s v="FREESHIP"/>
    <x v="1"/>
    <n v="410.91"/>
    <n v="136.97"/>
  </r>
  <r>
    <s v="ORD200725"/>
    <x v="255"/>
    <s v="C95269"/>
    <x v="3"/>
    <n v="2"/>
    <n v="194.85"/>
    <s v="372 Main St"/>
    <x v="3"/>
    <x v="2"/>
    <s v="TRK45670926"/>
    <n v="5"/>
    <x v="2"/>
    <s v="NO-DISCOUNT"/>
    <x v="1"/>
    <n v="389.7"/>
    <n v="584.54999999999995"/>
  </r>
  <r>
    <s v="ORD200726"/>
    <x v="510"/>
    <s v="C18105"/>
    <x v="5"/>
    <n v="4"/>
    <n v="583.02"/>
    <s v="338 Main St"/>
    <x v="1"/>
    <x v="3"/>
    <s v="TRK94006117"/>
    <n v="4"/>
    <x v="5"/>
    <s v="FREESHIP"/>
    <x v="3"/>
    <n v="2332.08"/>
    <n v="0"/>
  </r>
  <r>
    <s v="ORD200727"/>
    <x v="470"/>
    <s v="C29063"/>
    <x v="3"/>
    <n v="5"/>
    <n v="95.75"/>
    <s v="379 Main St"/>
    <x v="1"/>
    <x v="0"/>
    <s v="TRK92745947"/>
    <n v="8"/>
    <x v="2"/>
    <s v="SAVE10"/>
    <x v="0"/>
    <n v="478.75"/>
    <n v="287.25"/>
  </r>
  <r>
    <s v="ORD200728"/>
    <x v="511"/>
    <s v="C10154"/>
    <x v="6"/>
    <n v="4"/>
    <n v="325.76"/>
    <s v="827 Main St"/>
    <x v="3"/>
    <x v="0"/>
    <s v="TRK79793300"/>
    <n v="8"/>
    <x v="3"/>
    <s v="WINTER15"/>
    <x v="2"/>
    <n v="1303.04"/>
    <n v="1303.04"/>
  </r>
  <r>
    <s v="ORD200729"/>
    <x v="102"/>
    <s v="C36997"/>
    <x v="1"/>
    <n v="4"/>
    <n v="186.41"/>
    <s v="819 Main St"/>
    <x v="3"/>
    <x v="4"/>
    <s v="TRK92794872"/>
    <n v="6"/>
    <x v="0"/>
    <s v="SAVE10"/>
    <x v="4"/>
    <n v="745.64"/>
    <n v="372.82"/>
  </r>
  <r>
    <s v="ORD200730"/>
    <x v="512"/>
    <s v="C77357"/>
    <x v="1"/>
    <n v="1"/>
    <n v="474.6"/>
    <s v="407 Main St"/>
    <x v="0"/>
    <x v="3"/>
    <s v="TRK91943923"/>
    <n v="4"/>
    <x v="2"/>
    <s v="SAVE10"/>
    <x v="2"/>
    <n v="474.6"/>
    <n v="1423.8000000000002"/>
  </r>
  <r>
    <s v="ORD200731"/>
    <x v="267"/>
    <s v="C71310"/>
    <x v="4"/>
    <n v="5"/>
    <n v="584.46"/>
    <s v="308 Main St"/>
    <x v="2"/>
    <x v="2"/>
    <s v="TRK48292586"/>
    <n v="8"/>
    <x v="2"/>
    <s v="NO-DISCOUNT"/>
    <x v="2"/>
    <n v="2922.3"/>
    <n v="1753.38"/>
  </r>
  <r>
    <s v="ORD200732"/>
    <x v="456"/>
    <s v="C80987"/>
    <x v="5"/>
    <n v="1"/>
    <n v="132.05000000000001"/>
    <s v="787 Main St"/>
    <x v="1"/>
    <x v="3"/>
    <s v="TRK42187776"/>
    <n v="2"/>
    <x v="1"/>
    <s v="NO-DISCOUNT"/>
    <x v="4"/>
    <n v="132.05000000000001"/>
    <n v="132.05000000000001"/>
  </r>
  <r>
    <s v="ORD200733"/>
    <x v="513"/>
    <s v="C90757"/>
    <x v="2"/>
    <n v="4"/>
    <n v="494.84"/>
    <s v="694 Main St"/>
    <x v="4"/>
    <x v="2"/>
    <s v="TRK87991608"/>
    <n v="8"/>
    <x v="3"/>
    <s v="SAVE10"/>
    <x v="2"/>
    <n v="1979.36"/>
    <n v="1979.36"/>
  </r>
  <r>
    <s v="ORD200734"/>
    <x v="514"/>
    <s v="C51898"/>
    <x v="4"/>
    <n v="4"/>
    <n v="224.61"/>
    <s v="630 Main St"/>
    <x v="2"/>
    <x v="2"/>
    <s v="TRK19767885"/>
    <n v="6"/>
    <x v="0"/>
    <s v="WINTER15"/>
    <x v="3"/>
    <n v="898.44"/>
    <n v="449.22"/>
  </r>
  <r>
    <s v="ORD200735"/>
    <x v="515"/>
    <s v="C94508"/>
    <x v="0"/>
    <n v="4"/>
    <n v="44.07"/>
    <s v="359 Main St"/>
    <x v="0"/>
    <x v="4"/>
    <s v="TRK13443264"/>
    <n v="6"/>
    <x v="0"/>
    <s v="NO-DISCOUNT"/>
    <x v="2"/>
    <n v="176.28"/>
    <n v="88.14"/>
  </r>
  <r>
    <s v="ORD200736"/>
    <x v="516"/>
    <s v="C59441"/>
    <x v="0"/>
    <n v="5"/>
    <n v="418.53"/>
    <s v="696 Main St"/>
    <x v="2"/>
    <x v="4"/>
    <s v="TRK66186874"/>
    <n v="6"/>
    <x v="1"/>
    <s v="FREESHIP"/>
    <x v="4"/>
    <n v="2092.65"/>
    <n v="418.53"/>
  </r>
  <r>
    <s v="ORD200737"/>
    <x v="517"/>
    <s v="C91029"/>
    <x v="1"/>
    <n v="4"/>
    <n v="532.87"/>
    <s v="972 Main St"/>
    <x v="4"/>
    <x v="4"/>
    <s v="TRK25501930"/>
    <n v="9"/>
    <x v="4"/>
    <s v="FREESHIP"/>
    <x v="0"/>
    <n v="2131.48"/>
    <n v="2664.35"/>
  </r>
  <r>
    <s v="ORD200738"/>
    <x v="518"/>
    <s v="C96261"/>
    <x v="1"/>
    <n v="2"/>
    <n v="485.37"/>
    <s v="264 Main St"/>
    <x v="2"/>
    <x v="0"/>
    <s v="TRK44998396"/>
    <n v="5"/>
    <x v="2"/>
    <s v="SAVE10"/>
    <x v="2"/>
    <n v="970.74"/>
    <n v="1456.1100000000001"/>
  </r>
  <r>
    <s v="ORD200739"/>
    <x v="136"/>
    <s v="C35123"/>
    <x v="1"/>
    <n v="4"/>
    <n v="386.73"/>
    <s v="513 Main St"/>
    <x v="4"/>
    <x v="3"/>
    <s v="TRK58979275"/>
    <n v="4"/>
    <x v="5"/>
    <s v="SAVE10"/>
    <x v="3"/>
    <n v="1546.92"/>
    <n v="0"/>
  </r>
  <r>
    <s v="ORD200740"/>
    <x v="351"/>
    <s v="C10892"/>
    <x v="6"/>
    <n v="2"/>
    <n v="377.47"/>
    <s v="433 Main St"/>
    <x v="4"/>
    <x v="4"/>
    <s v="TRK76154554"/>
    <n v="7"/>
    <x v="4"/>
    <s v="NO-DISCOUNT"/>
    <x v="4"/>
    <n v="754.94"/>
    <n v="1887.3500000000001"/>
  </r>
  <r>
    <s v="ORD200741"/>
    <x v="185"/>
    <s v="C99683"/>
    <x v="0"/>
    <n v="5"/>
    <n v="332.64"/>
    <s v="945 Main St"/>
    <x v="3"/>
    <x v="3"/>
    <s v="TRK87305883"/>
    <n v="10"/>
    <x v="4"/>
    <s v="NO-DISCOUNT"/>
    <x v="1"/>
    <n v="1663.2"/>
    <n v="1663.1999999999998"/>
  </r>
  <r>
    <s v="ORD200742"/>
    <x v="519"/>
    <s v="C41974"/>
    <x v="5"/>
    <n v="3"/>
    <n v="699.93"/>
    <s v="726 Main St"/>
    <x v="4"/>
    <x v="2"/>
    <s v="TRK48051468"/>
    <n v="7"/>
    <x v="3"/>
    <s v="SAVE10"/>
    <x v="4"/>
    <n v="2099.79"/>
    <n v="2799.72"/>
  </r>
  <r>
    <s v="ORD200743"/>
    <x v="430"/>
    <s v="C23978"/>
    <x v="0"/>
    <n v="1"/>
    <n v="576.35"/>
    <s v="549 Main St"/>
    <x v="3"/>
    <x v="2"/>
    <s v="TRK87090813"/>
    <n v="1"/>
    <x v="5"/>
    <s v="WINTER15"/>
    <x v="0"/>
    <n v="576.35"/>
    <n v="0"/>
  </r>
  <r>
    <s v="ORD200744"/>
    <x v="520"/>
    <s v="C10642"/>
    <x v="2"/>
    <n v="2"/>
    <n v="461.37"/>
    <s v="200 Main St"/>
    <x v="4"/>
    <x v="3"/>
    <s v="TRK98725693"/>
    <n v="5"/>
    <x v="2"/>
    <s v="SAVE10"/>
    <x v="4"/>
    <n v="922.74"/>
    <n v="1384.1100000000001"/>
  </r>
  <r>
    <s v="ORD200745"/>
    <x v="521"/>
    <s v="C73813"/>
    <x v="4"/>
    <n v="4"/>
    <n v="111.3"/>
    <s v="364 Main St"/>
    <x v="0"/>
    <x v="4"/>
    <s v="TRK89906749"/>
    <n v="7"/>
    <x v="2"/>
    <s v="FREESHIP"/>
    <x v="2"/>
    <n v="445.2"/>
    <n v="333.9"/>
  </r>
  <r>
    <s v="ORD200746"/>
    <x v="522"/>
    <s v="C32183"/>
    <x v="6"/>
    <n v="3"/>
    <n v="661.89"/>
    <s v="551 Main St"/>
    <x v="1"/>
    <x v="1"/>
    <s v="TRK76287027"/>
    <n v="6"/>
    <x v="2"/>
    <s v="WINTER15"/>
    <x v="1"/>
    <n v="1985.67"/>
    <n v="1985.67"/>
  </r>
  <r>
    <s v="ORD200747"/>
    <x v="495"/>
    <s v="C54277"/>
    <x v="2"/>
    <n v="2"/>
    <n v="259.58"/>
    <s v="940 Main St"/>
    <x v="0"/>
    <x v="3"/>
    <s v="TRK26500181"/>
    <n v="7"/>
    <x v="4"/>
    <s v="FREESHIP"/>
    <x v="0"/>
    <n v="519.16"/>
    <n v="1297.8999999999999"/>
  </r>
  <r>
    <s v="ORD200748"/>
    <x v="523"/>
    <s v="C56553"/>
    <x v="2"/>
    <n v="3"/>
    <n v="70.81"/>
    <s v="249 Main St"/>
    <x v="2"/>
    <x v="0"/>
    <s v="TRK37667360"/>
    <n v="8"/>
    <x v="4"/>
    <s v="FREESHIP"/>
    <x v="1"/>
    <n v="212.43"/>
    <n v="354.05"/>
  </r>
  <r>
    <s v="ORD200749"/>
    <x v="524"/>
    <s v="C17551"/>
    <x v="5"/>
    <n v="1"/>
    <n v="518.39"/>
    <s v="997 Main St"/>
    <x v="0"/>
    <x v="4"/>
    <s v="TRK88797170"/>
    <n v="4"/>
    <x v="2"/>
    <s v="FREESHIP"/>
    <x v="0"/>
    <n v="518.39"/>
    <n v="1555.17"/>
  </r>
  <r>
    <s v="ORD200750"/>
    <x v="90"/>
    <s v="C14737"/>
    <x v="2"/>
    <n v="4"/>
    <n v="145.41"/>
    <s v="637 Main St"/>
    <x v="2"/>
    <x v="2"/>
    <s v="TRK10295115"/>
    <n v="7"/>
    <x v="2"/>
    <s v="FREESHIP"/>
    <x v="2"/>
    <n v="581.64"/>
    <n v="436.23"/>
  </r>
  <r>
    <s v="ORD200751"/>
    <x v="16"/>
    <s v="C35168"/>
    <x v="2"/>
    <n v="2"/>
    <n v="599.86"/>
    <s v="455 Main St"/>
    <x v="3"/>
    <x v="4"/>
    <s v="TRK76960854"/>
    <n v="7"/>
    <x v="4"/>
    <s v="FREESHIP"/>
    <x v="3"/>
    <n v="1199.72"/>
    <n v="2999.3"/>
  </r>
  <r>
    <s v="ORD200752"/>
    <x v="525"/>
    <s v="C82217"/>
    <x v="1"/>
    <n v="4"/>
    <n v="429.37"/>
    <s v="299 Main St"/>
    <x v="2"/>
    <x v="3"/>
    <s v="TRK33305694"/>
    <n v="8"/>
    <x v="3"/>
    <s v="FREESHIP"/>
    <x v="4"/>
    <n v="1717.48"/>
    <n v="1717.48"/>
  </r>
  <r>
    <s v="ORD200753"/>
    <x v="526"/>
    <s v="C42270"/>
    <x v="1"/>
    <n v="2"/>
    <n v="241.49"/>
    <s v="864 Main St"/>
    <x v="0"/>
    <x v="2"/>
    <s v="TRK72697796"/>
    <n v="7"/>
    <x v="4"/>
    <s v="FREESHIP"/>
    <x v="0"/>
    <n v="482.98"/>
    <n v="1207.45"/>
  </r>
  <r>
    <s v="ORD200754"/>
    <x v="133"/>
    <s v="C48846"/>
    <x v="4"/>
    <n v="2"/>
    <n v="452.05"/>
    <s v="983 Main St"/>
    <x v="2"/>
    <x v="2"/>
    <s v="TRK52804097"/>
    <n v="3"/>
    <x v="1"/>
    <s v="WINTER15"/>
    <x v="2"/>
    <n v="904.1"/>
    <n v="452.05"/>
  </r>
  <r>
    <s v="ORD200755"/>
    <x v="527"/>
    <s v="C54160"/>
    <x v="6"/>
    <n v="3"/>
    <n v="336.71"/>
    <s v="658 Main St"/>
    <x v="2"/>
    <x v="4"/>
    <s v="TRK60515972"/>
    <n v="4"/>
    <x v="1"/>
    <s v="NO-DISCOUNT"/>
    <x v="2"/>
    <n v="1010.13"/>
    <n v="336.71"/>
  </r>
  <r>
    <s v="ORD200756"/>
    <x v="326"/>
    <s v="C14080"/>
    <x v="1"/>
    <n v="1"/>
    <n v="283.69"/>
    <s v="202 Main St"/>
    <x v="3"/>
    <x v="0"/>
    <s v="TRK93163682"/>
    <n v="6"/>
    <x v="4"/>
    <s v="NO-DISCOUNT"/>
    <x v="4"/>
    <n v="283.69"/>
    <n v="1418.45"/>
  </r>
  <r>
    <s v="ORD200757"/>
    <x v="27"/>
    <s v="C81074"/>
    <x v="6"/>
    <n v="1"/>
    <n v="157.72"/>
    <s v="597 Main St"/>
    <x v="0"/>
    <x v="3"/>
    <s v="TRK91105190"/>
    <n v="2"/>
    <x v="1"/>
    <s v="FREESHIP"/>
    <x v="4"/>
    <n v="157.72"/>
    <n v="157.72"/>
  </r>
  <r>
    <s v="ORD200758"/>
    <x v="465"/>
    <s v="C69021"/>
    <x v="2"/>
    <n v="3"/>
    <n v="624.84"/>
    <s v="917 Main St"/>
    <x v="2"/>
    <x v="1"/>
    <s v="TRK57148510"/>
    <n v="8"/>
    <x v="4"/>
    <s v="WINTER15"/>
    <x v="3"/>
    <n v="1874.52"/>
    <n v="3124.2000000000003"/>
  </r>
  <r>
    <s v="ORD200759"/>
    <x v="528"/>
    <s v="C96283"/>
    <x v="6"/>
    <n v="3"/>
    <n v="308.01"/>
    <s v="366 Main St"/>
    <x v="4"/>
    <x v="4"/>
    <s v="TRK91784124"/>
    <n v="3"/>
    <x v="5"/>
    <s v="FREESHIP"/>
    <x v="3"/>
    <n v="924.03"/>
    <n v="0"/>
  </r>
  <r>
    <s v="ORD200760"/>
    <x v="403"/>
    <s v="C96636"/>
    <x v="6"/>
    <n v="1"/>
    <n v="39.56"/>
    <s v="283 Main St"/>
    <x v="0"/>
    <x v="1"/>
    <s v="TRK73324346"/>
    <n v="5"/>
    <x v="3"/>
    <s v="NO-DISCOUNT"/>
    <x v="4"/>
    <n v="39.56"/>
    <n v="158.24"/>
  </r>
  <r>
    <s v="ORD200761"/>
    <x v="454"/>
    <s v="C37235"/>
    <x v="6"/>
    <n v="4"/>
    <n v="37.76"/>
    <s v="217 Main St"/>
    <x v="0"/>
    <x v="3"/>
    <s v="TRK67789367"/>
    <n v="7"/>
    <x v="2"/>
    <s v="NO-DISCOUNT"/>
    <x v="4"/>
    <n v="151.04"/>
    <n v="113.28"/>
  </r>
  <r>
    <s v="ORD200762"/>
    <x v="529"/>
    <s v="C12444"/>
    <x v="1"/>
    <n v="3"/>
    <n v="76.959999999999994"/>
    <s v="611 Main St"/>
    <x v="4"/>
    <x v="2"/>
    <s v="TRK97621403"/>
    <n v="8"/>
    <x v="4"/>
    <s v="FREESHIP"/>
    <x v="2"/>
    <n v="230.88"/>
    <n v="384.79999999999995"/>
  </r>
  <r>
    <s v="ORD200763"/>
    <x v="388"/>
    <s v="C79142"/>
    <x v="5"/>
    <n v="1"/>
    <n v="569.96"/>
    <s v="533 Main St"/>
    <x v="1"/>
    <x v="3"/>
    <s v="TRK30915955"/>
    <n v="4"/>
    <x v="2"/>
    <s v="FREESHIP"/>
    <x v="2"/>
    <n v="569.96"/>
    <n v="1709.88"/>
  </r>
  <r>
    <s v="ORD200764"/>
    <x v="416"/>
    <s v="C35983"/>
    <x v="5"/>
    <n v="5"/>
    <n v="627.42999999999995"/>
    <s v="806 Main St"/>
    <x v="2"/>
    <x v="1"/>
    <s v="TRK14016163"/>
    <n v="10"/>
    <x v="4"/>
    <s v="FREESHIP"/>
    <x v="2"/>
    <n v="3137.15"/>
    <n v="3137.1499999999996"/>
  </r>
  <r>
    <s v="ORD200765"/>
    <x v="426"/>
    <s v="C36150"/>
    <x v="5"/>
    <n v="2"/>
    <n v="534.91"/>
    <s v="281 Main St"/>
    <x v="0"/>
    <x v="2"/>
    <s v="TRK96249043"/>
    <n v="5"/>
    <x v="2"/>
    <s v="SAVE10"/>
    <x v="4"/>
    <n v="1069.82"/>
    <n v="1604.73"/>
  </r>
  <r>
    <s v="ORD200766"/>
    <x v="55"/>
    <s v="C91454"/>
    <x v="4"/>
    <n v="2"/>
    <n v="278.88"/>
    <s v="494 Main St"/>
    <x v="0"/>
    <x v="4"/>
    <s v="TRK99985340"/>
    <n v="3"/>
    <x v="1"/>
    <s v="FREESHIP"/>
    <x v="1"/>
    <n v="557.76"/>
    <n v="278.88"/>
  </r>
  <r>
    <s v="ORD200767"/>
    <x v="479"/>
    <s v="C19368"/>
    <x v="2"/>
    <n v="2"/>
    <n v="323.22000000000003"/>
    <s v="517 Main St"/>
    <x v="2"/>
    <x v="3"/>
    <s v="TRK80436037"/>
    <n v="7"/>
    <x v="4"/>
    <s v="NO-DISCOUNT"/>
    <x v="0"/>
    <n v="646.44000000000005"/>
    <n v="1616.1000000000001"/>
  </r>
  <r>
    <s v="ORD200768"/>
    <x v="355"/>
    <s v="C35987"/>
    <x v="2"/>
    <n v="5"/>
    <n v="653.46"/>
    <s v="165 Main St"/>
    <x v="4"/>
    <x v="1"/>
    <s v="TRK28918815"/>
    <n v="9"/>
    <x v="3"/>
    <s v="WINTER15"/>
    <x v="2"/>
    <n v="3267.3"/>
    <n v="2613.84"/>
  </r>
  <r>
    <s v="ORD200769"/>
    <x v="117"/>
    <s v="C13366"/>
    <x v="4"/>
    <n v="4"/>
    <n v="678.55"/>
    <s v="568 Main St"/>
    <x v="4"/>
    <x v="3"/>
    <s v="TRK98691410"/>
    <n v="5"/>
    <x v="1"/>
    <s v="NO-DISCOUNT"/>
    <x v="2"/>
    <n v="2714.2"/>
    <n v="678.55"/>
  </r>
  <r>
    <s v="ORD200770"/>
    <x v="530"/>
    <s v="C72166"/>
    <x v="6"/>
    <n v="1"/>
    <n v="314.38"/>
    <s v="227 Main St"/>
    <x v="1"/>
    <x v="2"/>
    <s v="TRK67733444"/>
    <n v="6"/>
    <x v="4"/>
    <s v="NO-DISCOUNT"/>
    <x v="4"/>
    <n v="314.38"/>
    <n v="1571.9"/>
  </r>
  <r>
    <s v="ORD200771"/>
    <x v="520"/>
    <s v="C20357"/>
    <x v="1"/>
    <n v="3"/>
    <n v="692.44"/>
    <s v="272 Main St"/>
    <x v="0"/>
    <x v="1"/>
    <s v="TRK82236408"/>
    <n v="8"/>
    <x v="4"/>
    <s v="FREESHIP"/>
    <x v="4"/>
    <n v="2077.3200000000002"/>
    <n v="3462.2000000000003"/>
  </r>
  <r>
    <s v="ORD200772"/>
    <x v="118"/>
    <s v="C33802"/>
    <x v="0"/>
    <n v="1"/>
    <n v="604.87"/>
    <s v="461 Main St"/>
    <x v="1"/>
    <x v="3"/>
    <s v="TRK25799478"/>
    <n v="4"/>
    <x v="2"/>
    <s v="NO-DISCOUNT"/>
    <x v="0"/>
    <n v="604.87"/>
    <n v="1814.6100000000001"/>
  </r>
  <r>
    <s v="ORD200773"/>
    <x v="164"/>
    <s v="C99205"/>
    <x v="1"/>
    <n v="2"/>
    <n v="512.33000000000004"/>
    <s v="415 Main St"/>
    <x v="4"/>
    <x v="1"/>
    <s v="TRK48904015"/>
    <n v="7"/>
    <x v="4"/>
    <s v="NO-DISCOUNT"/>
    <x v="3"/>
    <n v="1024.6600000000001"/>
    <n v="2561.65"/>
  </r>
  <r>
    <s v="ORD200774"/>
    <x v="198"/>
    <s v="C29701"/>
    <x v="3"/>
    <n v="3"/>
    <n v="20.54"/>
    <s v="257 Main St"/>
    <x v="2"/>
    <x v="1"/>
    <s v="TRK42266846"/>
    <n v="3"/>
    <x v="5"/>
    <s v="FREESHIP"/>
    <x v="0"/>
    <n v="61.62"/>
    <n v="0"/>
  </r>
  <r>
    <s v="ORD200775"/>
    <x v="190"/>
    <s v="C73941"/>
    <x v="1"/>
    <n v="2"/>
    <n v="625.22"/>
    <s v="569 Main St"/>
    <x v="1"/>
    <x v="1"/>
    <s v="TRK22051900"/>
    <n v="5"/>
    <x v="2"/>
    <s v="NO-DISCOUNT"/>
    <x v="4"/>
    <n v="1250.44"/>
    <n v="1875.66"/>
  </r>
  <r>
    <s v="ORD200776"/>
    <x v="531"/>
    <s v="C69168"/>
    <x v="2"/>
    <n v="1"/>
    <n v="21.19"/>
    <s v="482 Main St"/>
    <x v="4"/>
    <x v="2"/>
    <s v="TRK10446197"/>
    <n v="5"/>
    <x v="3"/>
    <s v="WINTER15"/>
    <x v="4"/>
    <n v="21.19"/>
    <n v="84.76"/>
  </r>
  <r>
    <s v="ORD200777"/>
    <x v="438"/>
    <s v="C66116"/>
    <x v="3"/>
    <n v="5"/>
    <n v="64.489999999999995"/>
    <s v="633 Main St"/>
    <x v="1"/>
    <x v="1"/>
    <s v="TRK41967983"/>
    <n v="7"/>
    <x v="0"/>
    <s v="NO-DISCOUNT"/>
    <x v="3"/>
    <n v="322.45"/>
    <n v="128.97999999999999"/>
  </r>
  <r>
    <s v="ORD200778"/>
    <x v="200"/>
    <s v="C85059"/>
    <x v="5"/>
    <n v="4"/>
    <n v="246.85"/>
    <s v="316 Main St"/>
    <x v="2"/>
    <x v="0"/>
    <s v="TRK56503740"/>
    <n v="8"/>
    <x v="3"/>
    <s v="WINTER15"/>
    <x v="4"/>
    <n v="987.4"/>
    <n v="987.4"/>
  </r>
  <r>
    <s v="ORD200779"/>
    <x v="142"/>
    <s v="C18076"/>
    <x v="1"/>
    <n v="3"/>
    <n v="588.74"/>
    <s v="751 Main St"/>
    <x v="0"/>
    <x v="4"/>
    <s v="TRK26661705"/>
    <n v="8"/>
    <x v="4"/>
    <s v="FREESHIP"/>
    <x v="2"/>
    <n v="1766.22"/>
    <n v="2943.7"/>
  </r>
  <r>
    <s v="ORD200780"/>
    <x v="74"/>
    <s v="C41284"/>
    <x v="5"/>
    <n v="4"/>
    <n v="184.48"/>
    <s v="661 Main St"/>
    <x v="1"/>
    <x v="1"/>
    <s v="TRK73613128"/>
    <n v="4"/>
    <x v="5"/>
    <s v="WINTER15"/>
    <x v="4"/>
    <n v="737.92"/>
    <n v="0"/>
  </r>
  <r>
    <s v="ORD200781"/>
    <x v="532"/>
    <s v="C43524"/>
    <x v="1"/>
    <n v="5"/>
    <n v="524.26"/>
    <s v="934 Main St"/>
    <x v="3"/>
    <x v="3"/>
    <s v="TRK51479426"/>
    <n v="5"/>
    <x v="5"/>
    <s v="FREESHIP"/>
    <x v="1"/>
    <n v="2621.3000000000002"/>
    <n v="0"/>
  </r>
  <r>
    <s v="ORD200782"/>
    <x v="533"/>
    <s v="C58063"/>
    <x v="0"/>
    <n v="2"/>
    <n v="493.63"/>
    <s v="167 Main St"/>
    <x v="1"/>
    <x v="2"/>
    <s v="TRK50548869"/>
    <n v="6"/>
    <x v="3"/>
    <s v="SAVE10"/>
    <x v="1"/>
    <n v="987.26"/>
    <n v="1974.52"/>
  </r>
  <r>
    <s v="ORD200783"/>
    <x v="534"/>
    <s v="C19937"/>
    <x v="4"/>
    <n v="1"/>
    <n v="438.34"/>
    <s v="281 Main St"/>
    <x v="3"/>
    <x v="2"/>
    <s v="TRK46990083"/>
    <n v="5"/>
    <x v="3"/>
    <s v="FREESHIP"/>
    <x v="3"/>
    <n v="438.34"/>
    <n v="1753.36"/>
  </r>
  <r>
    <s v="ORD200784"/>
    <x v="535"/>
    <s v="C21191"/>
    <x v="5"/>
    <n v="1"/>
    <n v="325.81"/>
    <s v="232 Main St"/>
    <x v="2"/>
    <x v="4"/>
    <s v="TRK85771230"/>
    <n v="1"/>
    <x v="5"/>
    <s v="WINTER15"/>
    <x v="1"/>
    <n v="325.81"/>
    <n v="0"/>
  </r>
  <r>
    <s v="ORD200785"/>
    <x v="536"/>
    <s v="C45862"/>
    <x v="3"/>
    <n v="1"/>
    <n v="176.1"/>
    <s v="342 Main St"/>
    <x v="2"/>
    <x v="4"/>
    <s v="TRK53089983"/>
    <n v="1"/>
    <x v="5"/>
    <s v="SAVE10"/>
    <x v="0"/>
    <n v="176.1"/>
    <n v="0"/>
  </r>
  <r>
    <s v="ORD200786"/>
    <x v="421"/>
    <s v="C39130"/>
    <x v="3"/>
    <n v="5"/>
    <n v="45.31"/>
    <s v="774 Main St"/>
    <x v="1"/>
    <x v="1"/>
    <s v="TRK99583414"/>
    <n v="8"/>
    <x v="2"/>
    <s v="NO-DISCOUNT"/>
    <x v="1"/>
    <n v="226.55"/>
    <n v="135.93"/>
  </r>
  <r>
    <s v="ORD200787"/>
    <x v="537"/>
    <s v="C18167"/>
    <x v="6"/>
    <n v="4"/>
    <n v="221.96"/>
    <s v="193 Main St"/>
    <x v="4"/>
    <x v="3"/>
    <s v="TRK36841089"/>
    <n v="7"/>
    <x v="2"/>
    <s v="NO-DISCOUNT"/>
    <x v="4"/>
    <n v="887.84"/>
    <n v="665.88"/>
  </r>
  <r>
    <s v="ORD200788"/>
    <x v="208"/>
    <s v="C47307"/>
    <x v="3"/>
    <n v="2"/>
    <n v="601.42999999999995"/>
    <s v="761 Main St"/>
    <x v="1"/>
    <x v="4"/>
    <s v="TRK43516112"/>
    <n v="5"/>
    <x v="2"/>
    <s v="FREESHIP"/>
    <x v="0"/>
    <n v="1202.8599999999999"/>
    <n v="1804.29"/>
  </r>
  <r>
    <s v="ORD200789"/>
    <x v="538"/>
    <s v="C57276"/>
    <x v="2"/>
    <n v="5"/>
    <n v="691.28"/>
    <s v="183 Main St"/>
    <x v="1"/>
    <x v="3"/>
    <s v="TRK75899752"/>
    <n v="10"/>
    <x v="4"/>
    <s v="SAVE10"/>
    <x v="2"/>
    <n v="3456.4"/>
    <n v="3456.3999999999996"/>
  </r>
  <r>
    <s v="ORD200790"/>
    <x v="154"/>
    <s v="C38928"/>
    <x v="5"/>
    <n v="4"/>
    <n v="417.89"/>
    <s v="302 Main St"/>
    <x v="3"/>
    <x v="4"/>
    <s v="TRK96636009"/>
    <n v="4"/>
    <x v="5"/>
    <s v="NO-DISCOUNT"/>
    <x v="4"/>
    <n v="1671.56"/>
    <n v="0"/>
  </r>
  <r>
    <s v="ORD200791"/>
    <x v="539"/>
    <s v="C49710"/>
    <x v="3"/>
    <n v="4"/>
    <n v="409.28"/>
    <s v="956 Main St"/>
    <x v="4"/>
    <x v="4"/>
    <s v="TRK92591237"/>
    <n v="8"/>
    <x v="3"/>
    <s v="NO-DISCOUNT"/>
    <x v="2"/>
    <n v="1637.12"/>
    <n v="1637.12"/>
  </r>
  <r>
    <s v="ORD200792"/>
    <x v="379"/>
    <s v="C41709"/>
    <x v="6"/>
    <n v="2"/>
    <n v="356.35"/>
    <s v="746 Main St"/>
    <x v="0"/>
    <x v="2"/>
    <s v="TRK90995294"/>
    <n v="6"/>
    <x v="3"/>
    <s v="WINTER15"/>
    <x v="3"/>
    <n v="712.7"/>
    <n v="1425.4"/>
  </r>
  <r>
    <s v="ORD200793"/>
    <x v="116"/>
    <s v="C91255"/>
    <x v="3"/>
    <n v="5"/>
    <n v="170.22"/>
    <s v="769 Main St"/>
    <x v="0"/>
    <x v="3"/>
    <s v="TRK69599961"/>
    <n v="8"/>
    <x v="2"/>
    <s v="NO-DISCOUNT"/>
    <x v="1"/>
    <n v="851.1"/>
    <n v="510.65999999999997"/>
  </r>
  <r>
    <s v="ORD200794"/>
    <x v="338"/>
    <s v="C76653"/>
    <x v="4"/>
    <n v="4"/>
    <n v="384.85"/>
    <s v="988 Main St"/>
    <x v="1"/>
    <x v="3"/>
    <s v="TRK77052196"/>
    <n v="9"/>
    <x v="4"/>
    <s v="FREESHIP"/>
    <x v="0"/>
    <n v="1539.4"/>
    <n v="1924.25"/>
  </r>
  <r>
    <s v="ORD200795"/>
    <x v="540"/>
    <s v="C95667"/>
    <x v="5"/>
    <n v="4"/>
    <n v="115.77"/>
    <s v="586 Main St"/>
    <x v="1"/>
    <x v="4"/>
    <s v="TRK41266666"/>
    <n v="7"/>
    <x v="2"/>
    <s v="SAVE10"/>
    <x v="0"/>
    <n v="463.08"/>
    <n v="347.31"/>
  </r>
  <r>
    <s v="ORD200796"/>
    <x v="541"/>
    <s v="C33313"/>
    <x v="1"/>
    <n v="3"/>
    <n v="579.54999999999995"/>
    <s v="882 Main St"/>
    <x v="3"/>
    <x v="2"/>
    <s v="TRK13349970"/>
    <n v="8"/>
    <x v="4"/>
    <s v="WINTER15"/>
    <x v="3"/>
    <n v="1738.65"/>
    <n v="2897.75"/>
  </r>
  <r>
    <s v="ORD200797"/>
    <x v="146"/>
    <s v="C36825"/>
    <x v="5"/>
    <n v="2"/>
    <n v="438.76"/>
    <s v="426 Main St"/>
    <x v="0"/>
    <x v="2"/>
    <s v="TRK72557318"/>
    <n v="2"/>
    <x v="5"/>
    <s v="NO-DISCOUNT"/>
    <x v="3"/>
    <n v="877.52"/>
    <n v="0"/>
  </r>
  <r>
    <s v="ORD200798"/>
    <x v="542"/>
    <s v="C20861"/>
    <x v="1"/>
    <n v="5"/>
    <n v="488.35"/>
    <s v="968 Main St"/>
    <x v="0"/>
    <x v="2"/>
    <s v="TRK89372013"/>
    <n v="9"/>
    <x v="3"/>
    <s v="FREESHIP"/>
    <x v="2"/>
    <n v="2441.75"/>
    <n v="1953.4"/>
  </r>
  <r>
    <s v="ORD200799"/>
    <x v="397"/>
    <s v="C26364"/>
    <x v="5"/>
    <n v="4"/>
    <n v="328.56"/>
    <s v="803 Main St"/>
    <x v="0"/>
    <x v="2"/>
    <s v="TRK78924436"/>
    <n v="4"/>
    <x v="5"/>
    <s v="FREESHIP"/>
    <x v="2"/>
    <n v="1314.24"/>
    <n v="0"/>
  </r>
  <r>
    <s v="ORD200800"/>
    <x v="210"/>
    <s v="C34686"/>
    <x v="2"/>
    <n v="1"/>
    <n v="68.39"/>
    <s v="412 Main St"/>
    <x v="1"/>
    <x v="2"/>
    <s v="TRK99468332"/>
    <n v="3"/>
    <x v="0"/>
    <s v="WINTER15"/>
    <x v="3"/>
    <n v="68.39"/>
    <n v="136.78"/>
  </r>
  <r>
    <s v="ORD200801"/>
    <x v="71"/>
    <s v="C97593"/>
    <x v="4"/>
    <n v="4"/>
    <n v="595.62"/>
    <s v="738 Main St"/>
    <x v="0"/>
    <x v="4"/>
    <s v="TRK58443593"/>
    <n v="8"/>
    <x v="3"/>
    <s v="FREESHIP"/>
    <x v="3"/>
    <n v="2382.48"/>
    <n v="2382.48"/>
  </r>
  <r>
    <s v="ORD200802"/>
    <x v="11"/>
    <s v="C84331"/>
    <x v="3"/>
    <n v="5"/>
    <n v="644.64"/>
    <s v="205 Main St"/>
    <x v="3"/>
    <x v="1"/>
    <s v="TRK34440714"/>
    <n v="6"/>
    <x v="1"/>
    <s v="FREESHIP"/>
    <x v="2"/>
    <n v="3223.2"/>
    <n v="644.64"/>
  </r>
  <r>
    <s v="ORD200803"/>
    <x v="38"/>
    <s v="C88775"/>
    <x v="0"/>
    <n v="5"/>
    <n v="397.81"/>
    <s v="223 Main St"/>
    <x v="0"/>
    <x v="2"/>
    <s v="TRK45098068"/>
    <n v="5"/>
    <x v="5"/>
    <s v="SAVE10"/>
    <x v="1"/>
    <n v="1989.05"/>
    <n v="0"/>
  </r>
  <r>
    <s v="ORD200804"/>
    <x v="543"/>
    <s v="C76362"/>
    <x v="3"/>
    <n v="3"/>
    <n v="236.5"/>
    <s v="916 Main St"/>
    <x v="1"/>
    <x v="3"/>
    <s v="TRK11868618"/>
    <n v="8"/>
    <x v="4"/>
    <s v="FREESHIP"/>
    <x v="2"/>
    <n v="709.5"/>
    <n v="1182.5"/>
  </r>
  <r>
    <s v="ORD200805"/>
    <x v="12"/>
    <s v="C59278"/>
    <x v="5"/>
    <n v="5"/>
    <n v="472.01"/>
    <s v="178 Main St"/>
    <x v="3"/>
    <x v="1"/>
    <s v="TRK14590037"/>
    <n v="10"/>
    <x v="4"/>
    <s v="SAVE10"/>
    <x v="2"/>
    <n v="2360.0500000000002"/>
    <n v="2360.0500000000002"/>
  </r>
  <r>
    <s v="ORD200806"/>
    <x v="544"/>
    <s v="C55819"/>
    <x v="3"/>
    <n v="5"/>
    <n v="253.75"/>
    <s v="740 Main St"/>
    <x v="1"/>
    <x v="4"/>
    <s v="TRK13775054"/>
    <n v="9"/>
    <x v="3"/>
    <s v="WINTER15"/>
    <x v="0"/>
    <n v="1268.75"/>
    <n v="1015"/>
  </r>
  <r>
    <s v="ORD200807"/>
    <x v="337"/>
    <s v="C82344"/>
    <x v="0"/>
    <n v="3"/>
    <n v="676.21"/>
    <s v="260 Main St"/>
    <x v="1"/>
    <x v="3"/>
    <s v="TRK70957219"/>
    <n v="5"/>
    <x v="0"/>
    <s v="SAVE10"/>
    <x v="4"/>
    <n v="2028.63"/>
    <n v="1352.42"/>
  </r>
  <r>
    <s v="ORD200808"/>
    <x v="545"/>
    <s v="C65565"/>
    <x v="6"/>
    <n v="3"/>
    <n v="134.05000000000001"/>
    <s v="192 Main St"/>
    <x v="2"/>
    <x v="0"/>
    <s v="TRK80383756"/>
    <n v="3"/>
    <x v="5"/>
    <s v="NO-DISCOUNT"/>
    <x v="4"/>
    <n v="402.15"/>
    <n v="0"/>
  </r>
  <r>
    <s v="ORD200809"/>
    <x v="398"/>
    <s v="C80416"/>
    <x v="6"/>
    <n v="5"/>
    <n v="217.43"/>
    <s v="752 Main St"/>
    <x v="0"/>
    <x v="0"/>
    <s v="TRK54385892"/>
    <n v="10"/>
    <x v="4"/>
    <s v="SAVE10"/>
    <x v="0"/>
    <n v="1087.1500000000001"/>
    <n v="1087.1500000000001"/>
  </r>
  <r>
    <s v="ORD200810"/>
    <x v="546"/>
    <s v="C23637"/>
    <x v="2"/>
    <n v="1"/>
    <n v="553.55999999999995"/>
    <s v="644 Main St"/>
    <x v="2"/>
    <x v="1"/>
    <s v="TRK16749863"/>
    <n v="5"/>
    <x v="3"/>
    <s v="NO-DISCOUNT"/>
    <x v="1"/>
    <n v="553.55999999999995"/>
    <n v="2214.2399999999998"/>
  </r>
  <r>
    <s v="ORD200811"/>
    <x v="212"/>
    <s v="C24769"/>
    <x v="5"/>
    <n v="2"/>
    <n v="28.55"/>
    <s v="864 Main St"/>
    <x v="3"/>
    <x v="0"/>
    <s v="TRK44538305"/>
    <n v="7"/>
    <x v="4"/>
    <s v="SAVE10"/>
    <x v="2"/>
    <n v="57.1"/>
    <n v="142.75"/>
  </r>
  <r>
    <s v="ORD200812"/>
    <x v="547"/>
    <s v="C81547"/>
    <x v="1"/>
    <n v="2"/>
    <n v="255.26"/>
    <s v="803 Main St"/>
    <x v="2"/>
    <x v="1"/>
    <s v="TRK88437123"/>
    <n v="6"/>
    <x v="3"/>
    <s v="FREESHIP"/>
    <x v="4"/>
    <n v="510.52"/>
    <n v="1021.04"/>
  </r>
  <r>
    <s v="ORD200813"/>
    <x v="175"/>
    <s v="C12813"/>
    <x v="5"/>
    <n v="5"/>
    <n v="292.54000000000002"/>
    <s v="263 Main St"/>
    <x v="0"/>
    <x v="1"/>
    <s v="TRK36131660"/>
    <n v="8"/>
    <x v="2"/>
    <s v="FREESHIP"/>
    <x v="2"/>
    <n v="1462.7"/>
    <n v="877.62000000000012"/>
  </r>
  <r>
    <s v="ORD200814"/>
    <x v="218"/>
    <s v="C50732"/>
    <x v="3"/>
    <n v="4"/>
    <n v="147.51"/>
    <s v="979 Main St"/>
    <x v="0"/>
    <x v="4"/>
    <s v="TRK21082461"/>
    <n v="4"/>
    <x v="5"/>
    <s v="WINTER15"/>
    <x v="0"/>
    <n v="590.04"/>
    <n v="0"/>
  </r>
  <r>
    <s v="ORD200815"/>
    <x v="548"/>
    <s v="C41320"/>
    <x v="4"/>
    <n v="3"/>
    <n v="569.84"/>
    <s v="920 Main St"/>
    <x v="3"/>
    <x v="1"/>
    <s v="TRK77539180"/>
    <n v="8"/>
    <x v="4"/>
    <s v="WINTER15"/>
    <x v="0"/>
    <n v="1709.52"/>
    <n v="2849.2000000000003"/>
  </r>
  <r>
    <s v="ORD200816"/>
    <x v="444"/>
    <s v="C55286"/>
    <x v="2"/>
    <n v="5"/>
    <n v="574.79"/>
    <s v="497 Main St"/>
    <x v="2"/>
    <x v="4"/>
    <s v="TRK39058734"/>
    <n v="8"/>
    <x v="2"/>
    <s v="WINTER15"/>
    <x v="1"/>
    <n v="2873.95"/>
    <n v="1724.37"/>
  </r>
  <r>
    <s v="ORD200817"/>
    <x v="469"/>
    <s v="C87994"/>
    <x v="3"/>
    <n v="4"/>
    <n v="598.19000000000005"/>
    <s v="430 Main St"/>
    <x v="2"/>
    <x v="3"/>
    <s v="TRK98883971"/>
    <n v="7"/>
    <x v="2"/>
    <s v="WINTER15"/>
    <x v="2"/>
    <n v="2392.7600000000002"/>
    <n v="1794.5700000000002"/>
  </r>
  <r>
    <s v="ORD200818"/>
    <x v="521"/>
    <s v="C25580"/>
    <x v="1"/>
    <n v="4"/>
    <n v="390.84"/>
    <s v="860 Main St"/>
    <x v="2"/>
    <x v="1"/>
    <s v="TRK58781638"/>
    <n v="9"/>
    <x v="4"/>
    <s v="WINTER15"/>
    <x v="1"/>
    <n v="1563.36"/>
    <n v="1954.1999999999998"/>
  </r>
  <r>
    <s v="ORD200819"/>
    <x v="335"/>
    <s v="C66196"/>
    <x v="1"/>
    <n v="2"/>
    <n v="398.45"/>
    <s v="650 Main St"/>
    <x v="0"/>
    <x v="1"/>
    <s v="TRK38104650"/>
    <n v="7"/>
    <x v="4"/>
    <s v="SAVE10"/>
    <x v="4"/>
    <n v="796.9"/>
    <n v="1992.25"/>
  </r>
  <r>
    <s v="ORD200820"/>
    <x v="156"/>
    <s v="C35377"/>
    <x v="1"/>
    <n v="5"/>
    <n v="623.80999999999995"/>
    <s v="171 Main St"/>
    <x v="4"/>
    <x v="2"/>
    <s v="TRK17342157"/>
    <n v="6"/>
    <x v="1"/>
    <s v="FREESHIP"/>
    <x v="2"/>
    <n v="3119.05"/>
    <n v="623.80999999999995"/>
  </r>
  <r>
    <s v="ORD200821"/>
    <x v="549"/>
    <s v="C40771"/>
    <x v="5"/>
    <n v="4"/>
    <n v="174.49"/>
    <s v="259 Main St"/>
    <x v="2"/>
    <x v="3"/>
    <s v="TRK56310345"/>
    <n v="5"/>
    <x v="1"/>
    <s v="SAVE10"/>
    <x v="3"/>
    <n v="697.96"/>
    <n v="174.49"/>
  </r>
  <r>
    <s v="ORD200822"/>
    <x v="175"/>
    <s v="C20624"/>
    <x v="1"/>
    <n v="1"/>
    <n v="479.56"/>
    <s v="923 Main St"/>
    <x v="3"/>
    <x v="2"/>
    <s v="TRK45123395"/>
    <n v="1"/>
    <x v="5"/>
    <s v="SAVE10"/>
    <x v="4"/>
    <n v="479.56"/>
    <n v="0"/>
  </r>
  <r>
    <s v="ORD200823"/>
    <x v="550"/>
    <s v="C27070"/>
    <x v="5"/>
    <n v="4"/>
    <n v="653.13"/>
    <s v="973 Main St"/>
    <x v="2"/>
    <x v="0"/>
    <s v="TRK83842481"/>
    <n v="8"/>
    <x v="3"/>
    <s v="WINTER15"/>
    <x v="0"/>
    <n v="2612.52"/>
    <n v="2612.52"/>
  </r>
  <r>
    <s v="ORD200824"/>
    <x v="193"/>
    <s v="C18826"/>
    <x v="0"/>
    <n v="3"/>
    <n v="481.1"/>
    <s v="664 Main St"/>
    <x v="2"/>
    <x v="2"/>
    <s v="TRK12530495"/>
    <n v="3"/>
    <x v="5"/>
    <s v="FREESHIP"/>
    <x v="3"/>
    <n v="1443.3"/>
    <n v="0"/>
  </r>
  <r>
    <s v="ORD200825"/>
    <x v="18"/>
    <s v="C23899"/>
    <x v="6"/>
    <n v="5"/>
    <n v="271.69"/>
    <s v="543 Main St"/>
    <x v="1"/>
    <x v="2"/>
    <s v="TRK88914760"/>
    <n v="7"/>
    <x v="0"/>
    <s v="FREESHIP"/>
    <x v="0"/>
    <n v="1358.45"/>
    <n v="543.38"/>
  </r>
  <r>
    <s v="ORD200826"/>
    <x v="177"/>
    <s v="C43249"/>
    <x v="4"/>
    <n v="3"/>
    <n v="463.81"/>
    <s v="283 Main St"/>
    <x v="1"/>
    <x v="2"/>
    <s v="TRK32469820"/>
    <n v="8"/>
    <x v="4"/>
    <s v="WINTER15"/>
    <x v="2"/>
    <n v="1391.43"/>
    <n v="2319.0500000000002"/>
  </r>
  <r>
    <s v="ORD200827"/>
    <x v="551"/>
    <s v="C95856"/>
    <x v="2"/>
    <n v="2"/>
    <n v="639.88"/>
    <s v="432 Main St"/>
    <x v="4"/>
    <x v="3"/>
    <s v="TRK58829625"/>
    <n v="5"/>
    <x v="2"/>
    <s v="WINTER15"/>
    <x v="0"/>
    <n v="1279.76"/>
    <n v="1919.6399999999999"/>
  </r>
  <r>
    <s v="ORD200828"/>
    <x v="25"/>
    <s v="C86266"/>
    <x v="3"/>
    <n v="4"/>
    <n v="404.58"/>
    <s v="510 Main St"/>
    <x v="4"/>
    <x v="0"/>
    <s v="TRK64576020"/>
    <n v="5"/>
    <x v="1"/>
    <s v="FREESHIP"/>
    <x v="0"/>
    <n v="1618.32"/>
    <n v="404.58"/>
  </r>
  <r>
    <s v="ORD200829"/>
    <x v="483"/>
    <s v="C39551"/>
    <x v="0"/>
    <n v="1"/>
    <n v="76.930000000000007"/>
    <s v="685 Main St"/>
    <x v="0"/>
    <x v="3"/>
    <s v="TRK68358007"/>
    <n v="6"/>
    <x v="4"/>
    <s v="WINTER15"/>
    <x v="0"/>
    <n v="76.930000000000007"/>
    <n v="384.65000000000003"/>
  </r>
  <r>
    <s v="ORD200830"/>
    <x v="218"/>
    <s v="C90310"/>
    <x v="2"/>
    <n v="4"/>
    <n v="190.64"/>
    <s v="853 Main St"/>
    <x v="4"/>
    <x v="3"/>
    <s v="TRK70028457"/>
    <n v="5"/>
    <x v="1"/>
    <s v="SAVE10"/>
    <x v="2"/>
    <n v="762.56"/>
    <n v="190.64"/>
  </r>
  <r>
    <s v="ORD200831"/>
    <x v="552"/>
    <s v="C20124"/>
    <x v="4"/>
    <n v="2"/>
    <n v="88.73"/>
    <s v="140 Main St"/>
    <x v="1"/>
    <x v="4"/>
    <s v="TRK61346824"/>
    <n v="5"/>
    <x v="2"/>
    <s v="NO-DISCOUNT"/>
    <x v="4"/>
    <n v="177.46"/>
    <n v="266.19"/>
  </r>
  <r>
    <s v="ORD200832"/>
    <x v="553"/>
    <s v="C63372"/>
    <x v="3"/>
    <n v="5"/>
    <n v="485.71"/>
    <s v="903 Main St"/>
    <x v="1"/>
    <x v="4"/>
    <s v="TRK14661811"/>
    <n v="10"/>
    <x v="4"/>
    <s v="SAVE10"/>
    <x v="1"/>
    <n v="2428.5500000000002"/>
    <n v="2428.5499999999997"/>
  </r>
  <r>
    <s v="ORD200833"/>
    <x v="387"/>
    <s v="C90595"/>
    <x v="1"/>
    <n v="5"/>
    <n v="78.290000000000006"/>
    <s v="508 Main St"/>
    <x v="2"/>
    <x v="0"/>
    <s v="TRK96573803"/>
    <n v="5"/>
    <x v="5"/>
    <s v="WINTER15"/>
    <x v="1"/>
    <n v="391.45"/>
    <n v="0"/>
  </r>
  <r>
    <s v="ORD200834"/>
    <x v="166"/>
    <s v="C98483"/>
    <x v="4"/>
    <n v="5"/>
    <n v="22.14"/>
    <s v="456 Main St"/>
    <x v="4"/>
    <x v="2"/>
    <s v="TRK22084320"/>
    <n v="10"/>
    <x v="4"/>
    <s v="NO-DISCOUNT"/>
    <x v="0"/>
    <n v="110.7"/>
    <n v="110.7"/>
  </r>
  <r>
    <s v="ORD200835"/>
    <x v="290"/>
    <s v="C16429"/>
    <x v="6"/>
    <n v="1"/>
    <n v="679.65"/>
    <s v="390 Main St"/>
    <x v="0"/>
    <x v="0"/>
    <s v="TRK73888013"/>
    <n v="6"/>
    <x v="4"/>
    <s v="FREESHIP"/>
    <x v="4"/>
    <n v="679.65"/>
    <n v="3398.25"/>
  </r>
  <r>
    <s v="ORD200836"/>
    <x v="488"/>
    <s v="C31810"/>
    <x v="1"/>
    <n v="1"/>
    <n v="178.44"/>
    <s v="328 Main St"/>
    <x v="2"/>
    <x v="1"/>
    <s v="TRK58725886"/>
    <n v="2"/>
    <x v="1"/>
    <s v="FREESHIP"/>
    <x v="4"/>
    <n v="178.44"/>
    <n v="178.44"/>
  </r>
  <r>
    <s v="ORD200837"/>
    <x v="554"/>
    <s v="C88029"/>
    <x v="3"/>
    <n v="5"/>
    <n v="655.55"/>
    <s v="282 Main St"/>
    <x v="1"/>
    <x v="3"/>
    <s v="TRK59701278"/>
    <n v="5"/>
    <x v="5"/>
    <s v="NO-DISCOUNT"/>
    <x v="2"/>
    <n v="3277.75"/>
    <n v="0"/>
  </r>
  <r>
    <s v="ORD200838"/>
    <x v="166"/>
    <s v="C57798"/>
    <x v="6"/>
    <n v="4"/>
    <n v="577.08000000000004"/>
    <s v="384 Main St"/>
    <x v="1"/>
    <x v="4"/>
    <s v="TRK68797566"/>
    <n v="8"/>
    <x v="3"/>
    <s v="NO-DISCOUNT"/>
    <x v="3"/>
    <n v="2308.3200000000002"/>
    <n v="2308.3200000000002"/>
  </r>
  <r>
    <s v="ORD200839"/>
    <x v="318"/>
    <s v="C82858"/>
    <x v="3"/>
    <n v="3"/>
    <n v="197.97"/>
    <s v="551 Main St"/>
    <x v="1"/>
    <x v="1"/>
    <s v="TRK90618490"/>
    <n v="5"/>
    <x v="0"/>
    <s v="NO-DISCOUNT"/>
    <x v="4"/>
    <n v="593.91"/>
    <n v="395.94"/>
  </r>
  <r>
    <s v="ORD200840"/>
    <x v="555"/>
    <s v="C60699"/>
    <x v="3"/>
    <n v="3"/>
    <n v="411.95"/>
    <s v="672 Main St"/>
    <x v="2"/>
    <x v="3"/>
    <s v="TRK88660574"/>
    <n v="7"/>
    <x v="3"/>
    <s v="FREESHIP"/>
    <x v="1"/>
    <n v="1235.8499999999999"/>
    <n v="1647.8"/>
  </r>
  <r>
    <s v="ORD200841"/>
    <x v="556"/>
    <s v="C94658"/>
    <x v="4"/>
    <n v="2"/>
    <n v="443.22"/>
    <s v="742 Main St"/>
    <x v="2"/>
    <x v="3"/>
    <s v="TRK51732528"/>
    <n v="5"/>
    <x v="2"/>
    <s v="NO-DISCOUNT"/>
    <x v="3"/>
    <n v="886.44"/>
    <n v="1329.66"/>
  </r>
  <r>
    <s v="ORD200842"/>
    <x v="106"/>
    <s v="C78305"/>
    <x v="5"/>
    <n v="3"/>
    <n v="364.14"/>
    <s v="396 Main St"/>
    <x v="1"/>
    <x v="4"/>
    <s v="TRK88312618"/>
    <n v="7"/>
    <x v="3"/>
    <s v="WINTER15"/>
    <x v="1"/>
    <n v="1092.42"/>
    <n v="1456.56"/>
  </r>
  <r>
    <s v="ORD200843"/>
    <x v="557"/>
    <s v="C43538"/>
    <x v="6"/>
    <n v="3"/>
    <n v="430.06"/>
    <s v="534 Main St"/>
    <x v="3"/>
    <x v="1"/>
    <s v="TRK20961563"/>
    <n v="8"/>
    <x v="4"/>
    <s v="FREESHIP"/>
    <x v="0"/>
    <n v="1290.18"/>
    <n v="2150.3000000000002"/>
  </r>
  <r>
    <s v="ORD200844"/>
    <x v="558"/>
    <s v="C47486"/>
    <x v="3"/>
    <n v="1"/>
    <n v="320.92"/>
    <s v="883 Main St"/>
    <x v="1"/>
    <x v="2"/>
    <s v="TRK75984759"/>
    <n v="5"/>
    <x v="3"/>
    <s v="FREESHIP"/>
    <x v="3"/>
    <n v="320.92"/>
    <n v="1283.68"/>
  </r>
  <r>
    <s v="ORD200845"/>
    <x v="345"/>
    <s v="C24212"/>
    <x v="1"/>
    <n v="3"/>
    <n v="107.36"/>
    <s v="808 Main St"/>
    <x v="3"/>
    <x v="3"/>
    <s v="TRK68894675"/>
    <n v="5"/>
    <x v="0"/>
    <s v="FREESHIP"/>
    <x v="4"/>
    <n v="322.08"/>
    <n v="214.72"/>
  </r>
  <r>
    <s v="ORD200846"/>
    <x v="502"/>
    <s v="C24765"/>
    <x v="6"/>
    <n v="2"/>
    <n v="359.86"/>
    <s v="646 Main St"/>
    <x v="0"/>
    <x v="1"/>
    <s v="TRK43977698"/>
    <n v="4"/>
    <x v="0"/>
    <s v="NO-DISCOUNT"/>
    <x v="1"/>
    <n v="719.72"/>
    <n v="719.72"/>
  </r>
  <r>
    <s v="ORD200847"/>
    <x v="249"/>
    <s v="C48176"/>
    <x v="4"/>
    <n v="4"/>
    <n v="434.23"/>
    <s v="670 Main St"/>
    <x v="1"/>
    <x v="0"/>
    <s v="TRK90560300"/>
    <n v="8"/>
    <x v="3"/>
    <s v="FREESHIP"/>
    <x v="2"/>
    <n v="1736.92"/>
    <n v="1736.92"/>
  </r>
  <r>
    <s v="ORD200848"/>
    <x v="107"/>
    <s v="C54675"/>
    <x v="3"/>
    <n v="2"/>
    <n v="645.85"/>
    <s v="634 Main St"/>
    <x v="1"/>
    <x v="0"/>
    <s v="TRK18049633"/>
    <n v="5"/>
    <x v="2"/>
    <s v="NO-DISCOUNT"/>
    <x v="1"/>
    <n v="1291.7"/>
    <n v="1937.5500000000002"/>
  </r>
  <r>
    <s v="ORD200849"/>
    <x v="559"/>
    <s v="C16675"/>
    <x v="4"/>
    <n v="4"/>
    <n v="214.35"/>
    <s v="664 Main St"/>
    <x v="0"/>
    <x v="1"/>
    <s v="TRK12756945"/>
    <n v="7"/>
    <x v="2"/>
    <s v="WINTER15"/>
    <x v="1"/>
    <n v="857.4"/>
    <n v="643.04999999999995"/>
  </r>
  <r>
    <s v="ORD200850"/>
    <x v="560"/>
    <s v="C38557"/>
    <x v="0"/>
    <n v="3"/>
    <n v="638.5"/>
    <s v="890 Main St"/>
    <x v="0"/>
    <x v="1"/>
    <s v="TRK14832238"/>
    <n v="4"/>
    <x v="1"/>
    <s v="FREESHIP"/>
    <x v="0"/>
    <n v="1915.5"/>
    <n v="638.5"/>
  </r>
  <r>
    <s v="ORD200851"/>
    <x v="427"/>
    <s v="C80183"/>
    <x v="5"/>
    <n v="1"/>
    <n v="365.57"/>
    <s v="146 Main St"/>
    <x v="1"/>
    <x v="1"/>
    <s v="TRK20814598"/>
    <n v="5"/>
    <x v="3"/>
    <s v="SAVE10"/>
    <x v="2"/>
    <n v="365.57"/>
    <n v="1462.28"/>
  </r>
  <r>
    <s v="ORD200852"/>
    <x v="101"/>
    <s v="C39530"/>
    <x v="6"/>
    <n v="3"/>
    <n v="568.04999999999995"/>
    <s v="618 Main St"/>
    <x v="3"/>
    <x v="4"/>
    <s v="TRK69000497"/>
    <n v="6"/>
    <x v="2"/>
    <s v="SAVE10"/>
    <x v="4"/>
    <n v="1704.15"/>
    <n v="1704.1499999999999"/>
  </r>
  <r>
    <s v="ORD200853"/>
    <x v="504"/>
    <s v="C10002"/>
    <x v="4"/>
    <n v="3"/>
    <n v="490.01"/>
    <s v="894 Main St"/>
    <x v="4"/>
    <x v="2"/>
    <s v="TRK94641152"/>
    <n v="4"/>
    <x v="1"/>
    <s v="SAVE10"/>
    <x v="3"/>
    <n v="1470.03"/>
    <n v="490.01"/>
  </r>
  <r>
    <s v="ORD200854"/>
    <x v="399"/>
    <s v="C56938"/>
    <x v="5"/>
    <n v="3"/>
    <n v="372.6"/>
    <s v="356 Main St"/>
    <x v="2"/>
    <x v="3"/>
    <s v="TRK67735987"/>
    <n v="7"/>
    <x v="3"/>
    <s v="WINTER15"/>
    <x v="1"/>
    <n v="1117.8"/>
    <n v="1490.4"/>
  </r>
  <r>
    <s v="ORD200855"/>
    <x v="551"/>
    <s v="C41331"/>
    <x v="0"/>
    <n v="5"/>
    <n v="240.61"/>
    <s v="785 Main St"/>
    <x v="2"/>
    <x v="0"/>
    <s v="TRK94198179"/>
    <n v="10"/>
    <x v="4"/>
    <s v="FREESHIP"/>
    <x v="2"/>
    <n v="1203.05"/>
    <n v="1203.0500000000002"/>
  </r>
  <r>
    <s v="ORD200856"/>
    <x v="561"/>
    <s v="C94698"/>
    <x v="1"/>
    <n v="1"/>
    <n v="586.62"/>
    <s v="871 Main St"/>
    <x v="0"/>
    <x v="0"/>
    <s v="TRK95768773"/>
    <n v="5"/>
    <x v="3"/>
    <s v="NO-DISCOUNT"/>
    <x v="3"/>
    <n v="586.62"/>
    <n v="2346.48"/>
  </r>
  <r>
    <s v="ORD200857"/>
    <x v="416"/>
    <s v="C56506"/>
    <x v="1"/>
    <n v="3"/>
    <n v="257.83999999999997"/>
    <s v="185 Main St"/>
    <x v="1"/>
    <x v="3"/>
    <s v="TRK86808324"/>
    <n v="4"/>
    <x v="1"/>
    <s v="NO-DISCOUNT"/>
    <x v="0"/>
    <n v="773.52"/>
    <n v="257.83999999999997"/>
  </r>
  <r>
    <s v="ORD200858"/>
    <x v="38"/>
    <s v="C22167"/>
    <x v="2"/>
    <n v="5"/>
    <n v="435.66"/>
    <s v="891 Main St"/>
    <x v="1"/>
    <x v="4"/>
    <s v="TRK70269748"/>
    <n v="9"/>
    <x v="3"/>
    <s v="NO-DISCOUNT"/>
    <x v="3"/>
    <n v="2178.3000000000002"/>
    <n v="1742.64"/>
  </r>
  <r>
    <s v="ORD200859"/>
    <x v="562"/>
    <s v="C11127"/>
    <x v="3"/>
    <n v="5"/>
    <n v="261.33"/>
    <s v="154 Main St"/>
    <x v="2"/>
    <x v="2"/>
    <s v="TRK73285507"/>
    <n v="5"/>
    <x v="5"/>
    <s v="SAVE10"/>
    <x v="1"/>
    <n v="1306.6500000000001"/>
    <n v="0"/>
  </r>
  <r>
    <s v="ORD200860"/>
    <x v="514"/>
    <s v="C69542"/>
    <x v="4"/>
    <n v="1"/>
    <n v="422.54"/>
    <s v="876 Main St"/>
    <x v="4"/>
    <x v="3"/>
    <s v="TRK20746505"/>
    <n v="1"/>
    <x v="5"/>
    <s v="SAVE10"/>
    <x v="4"/>
    <n v="422.54"/>
    <n v="0"/>
  </r>
  <r>
    <s v="ORD200861"/>
    <x v="111"/>
    <s v="C93276"/>
    <x v="6"/>
    <n v="5"/>
    <n v="330.45"/>
    <s v="230 Main St"/>
    <x v="3"/>
    <x v="0"/>
    <s v="TRK44165913"/>
    <n v="10"/>
    <x v="4"/>
    <s v="FREESHIP"/>
    <x v="4"/>
    <n v="1652.25"/>
    <n v="1652.25"/>
  </r>
  <r>
    <s v="ORD200862"/>
    <x v="278"/>
    <s v="C37969"/>
    <x v="6"/>
    <n v="3"/>
    <n v="120.82"/>
    <s v="799 Main St"/>
    <x v="2"/>
    <x v="0"/>
    <s v="TRK69852386"/>
    <n v="5"/>
    <x v="0"/>
    <s v="SAVE10"/>
    <x v="1"/>
    <n v="362.46"/>
    <n v="241.64"/>
  </r>
  <r>
    <s v="ORD200863"/>
    <x v="199"/>
    <s v="C98276"/>
    <x v="1"/>
    <n v="1"/>
    <n v="14.06"/>
    <s v="471 Main St"/>
    <x v="2"/>
    <x v="4"/>
    <s v="TRK74207282"/>
    <n v="5"/>
    <x v="3"/>
    <s v="SAVE10"/>
    <x v="1"/>
    <n v="14.06"/>
    <n v="56.24"/>
  </r>
  <r>
    <s v="ORD200864"/>
    <x v="71"/>
    <s v="C14240"/>
    <x v="6"/>
    <n v="1"/>
    <n v="491.11"/>
    <s v="592 Main St"/>
    <x v="2"/>
    <x v="3"/>
    <s v="TRK58095246"/>
    <n v="4"/>
    <x v="2"/>
    <s v="SAVE10"/>
    <x v="3"/>
    <n v="491.11"/>
    <n v="1473.33"/>
  </r>
  <r>
    <s v="ORD200865"/>
    <x v="563"/>
    <s v="C72241"/>
    <x v="0"/>
    <n v="4"/>
    <n v="677.37"/>
    <s v="156 Main St"/>
    <x v="4"/>
    <x v="4"/>
    <s v="TRK76270481"/>
    <n v="8"/>
    <x v="3"/>
    <s v="SAVE10"/>
    <x v="4"/>
    <n v="2709.48"/>
    <n v="2709.48"/>
  </r>
  <r>
    <s v="ORD200866"/>
    <x v="503"/>
    <s v="C39664"/>
    <x v="6"/>
    <n v="5"/>
    <n v="189.25"/>
    <s v="693 Main St"/>
    <x v="0"/>
    <x v="1"/>
    <s v="TRK39917741"/>
    <n v="10"/>
    <x v="4"/>
    <s v="WINTER15"/>
    <x v="2"/>
    <n v="946.25"/>
    <n v="946.25"/>
  </r>
  <r>
    <s v="ORD200867"/>
    <x v="564"/>
    <s v="C53252"/>
    <x v="4"/>
    <n v="4"/>
    <n v="142.58000000000001"/>
    <s v="351 Main St"/>
    <x v="4"/>
    <x v="3"/>
    <s v="TRK65831261"/>
    <n v="4"/>
    <x v="5"/>
    <s v="FREESHIP"/>
    <x v="3"/>
    <n v="570.32000000000005"/>
    <n v="0"/>
  </r>
  <r>
    <s v="ORD200868"/>
    <x v="310"/>
    <s v="C70452"/>
    <x v="0"/>
    <n v="4"/>
    <n v="316.32"/>
    <s v="309 Main St"/>
    <x v="0"/>
    <x v="3"/>
    <s v="TRK42985882"/>
    <n v="7"/>
    <x v="2"/>
    <s v="NO-DISCOUNT"/>
    <x v="3"/>
    <n v="1265.28"/>
    <n v="948.96"/>
  </r>
  <r>
    <s v="ORD200869"/>
    <x v="537"/>
    <s v="C29905"/>
    <x v="6"/>
    <n v="2"/>
    <n v="533.95000000000005"/>
    <s v="790 Main St"/>
    <x v="1"/>
    <x v="3"/>
    <s v="TRK16788127"/>
    <n v="5"/>
    <x v="2"/>
    <s v="WINTER15"/>
    <x v="4"/>
    <n v="1067.9000000000001"/>
    <n v="1601.8500000000001"/>
  </r>
  <r>
    <s v="ORD200870"/>
    <x v="565"/>
    <s v="C78725"/>
    <x v="1"/>
    <n v="4"/>
    <n v="470.09"/>
    <s v="541 Main St"/>
    <x v="0"/>
    <x v="3"/>
    <s v="TRK72001139"/>
    <n v="4"/>
    <x v="5"/>
    <s v="FREESHIP"/>
    <x v="4"/>
    <n v="1880.36"/>
    <n v="0"/>
  </r>
  <r>
    <s v="ORD200871"/>
    <x v="149"/>
    <s v="C93768"/>
    <x v="2"/>
    <n v="3"/>
    <n v="324.3"/>
    <s v="720 Main St"/>
    <x v="0"/>
    <x v="4"/>
    <s v="TRK22024707"/>
    <n v="8"/>
    <x v="4"/>
    <s v="FREESHIP"/>
    <x v="2"/>
    <n v="972.90000000000009"/>
    <n v="1621.5"/>
  </r>
  <r>
    <s v="ORD200872"/>
    <x v="566"/>
    <s v="C59169"/>
    <x v="3"/>
    <n v="4"/>
    <n v="629.34"/>
    <s v="172 Main St"/>
    <x v="4"/>
    <x v="0"/>
    <s v="TRK90883858"/>
    <n v="7"/>
    <x v="2"/>
    <s v="NO-DISCOUNT"/>
    <x v="2"/>
    <n v="2517.36"/>
    <n v="1888.02"/>
  </r>
  <r>
    <s v="ORD200873"/>
    <x v="258"/>
    <s v="C53488"/>
    <x v="6"/>
    <n v="3"/>
    <n v="136.84"/>
    <s v="448 Main St"/>
    <x v="4"/>
    <x v="3"/>
    <s v="TRK27365050"/>
    <n v="3"/>
    <x v="5"/>
    <s v="SAVE10"/>
    <x v="3"/>
    <n v="410.52"/>
    <n v="0"/>
  </r>
  <r>
    <s v="ORD200874"/>
    <x v="150"/>
    <s v="C92180"/>
    <x v="3"/>
    <n v="2"/>
    <n v="488.9"/>
    <s v="632 Main St"/>
    <x v="4"/>
    <x v="3"/>
    <s v="TRK93315929"/>
    <n v="7"/>
    <x v="4"/>
    <s v="FREESHIP"/>
    <x v="3"/>
    <n v="977.8"/>
    <n v="2444.5"/>
  </r>
  <r>
    <s v="ORD200875"/>
    <x v="567"/>
    <s v="C25918"/>
    <x v="5"/>
    <n v="5"/>
    <n v="133.38999999999999"/>
    <s v="203 Main St"/>
    <x v="2"/>
    <x v="3"/>
    <s v="TRK66473392"/>
    <n v="6"/>
    <x v="1"/>
    <s v="FREESHIP"/>
    <x v="1"/>
    <n v="666.94999999999993"/>
    <n v="133.38999999999999"/>
  </r>
  <r>
    <s v="ORD200876"/>
    <x v="410"/>
    <s v="C90363"/>
    <x v="3"/>
    <n v="5"/>
    <n v="608.91"/>
    <s v="200 Main St"/>
    <x v="3"/>
    <x v="4"/>
    <s v="TRK21534173"/>
    <n v="6"/>
    <x v="1"/>
    <s v="SAVE10"/>
    <x v="4"/>
    <n v="3044.55"/>
    <n v="608.91"/>
  </r>
  <r>
    <s v="ORD200877"/>
    <x v="568"/>
    <s v="C43867"/>
    <x v="2"/>
    <n v="1"/>
    <n v="524.05999999999995"/>
    <s v="269 Main St"/>
    <x v="0"/>
    <x v="4"/>
    <s v="TRK97319127"/>
    <n v="3"/>
    <x v="0"/>
    <s v="FREESHIP"/>
    <x v="2"/>
    <n v="524.05999999999995"/>
    <n v="1048.1199999999999"/>
  </r>
  <r>
    <s v="ORD200878"/>
    <x v="569"/>
    <s v="C73873"/>
    <x v="6"/>
    <n v="2"/>
    <n v="330.69"/>
    <s v="393 Main St"/>
    <x v="1"/>
    <x v="1"/>
    <s v="TRK56423132"/>
    <n v="5"/>
    <x v="2"/>
    <s v="SAVE10"/>
    <x v="4"/>
    <n v="661.38"/>
    <n v="992.06999999999994"/>
  </r>
  <r>
    <s v="ORD200879"/>
    <x v="428"/>
    <s v="C56622"/>
    <x v="1"/>
    <n v="2"/>
    <n v="547.66999999999996"/>
    <s v="932 Main St"/>
    <x v="3"/>
    <x v="0"/>
    <s v="TRK86373987"/>
    <n v="3"/>
    <x v="1"/>
    <s v="NO-DISCOUNT"/>
    <x v="0"/>
    <n v="1095.3399999999999"/>
    <n v="547.66999999999996"/>
  </r>
  <r>
    <s v="ORD200880"/>
    <x v="495"/>
    <s v="C85074"/>
    <x v="5"/>
    <n v="4"/>
    <n v="233.7"/>
    <s v="506 Main St"/>
    <x v="1"/>
    <x v="0"/>
    <s v="TRK63133878"/>
    <n v="8"/>
    <x v="3"/>
    <s v="SAVE10"/>
    <x v="3"/>
    <n v="934.8"/>
    <n v="934.8"/>
  </r>
  <r>
    <s v="ORD200881"/>
    <x v="570"/>
    <s v="C59579"/>
    <x v="2"/>
    <n v="2"/>
    <n v="448.85"/>
    <s v="386 Main St"/>
    <x v="2"/>
    <x v="4"/>
    <s v="TRK48000034"/>
    <n v="6"/>
    <x v="3"/>
    <s v="NO-DISCOUNT"/>
    <x v="0"/>
    <n v="897.7"/>
    <n v="1795.4"/>
  </r>
  <r>
    <s v="ORD200882"/>
    <x v="164"/>
    <s v="C43335"/>
    <x v="1"/>
    <n v="2"/>
    <n v="274.12"/>
    <s v="533 Main St"/>
    <x v="4"/>
    <x v="3"/>
    <s v="TRK91848650"/>
    <n v="6"/>
    <x v="3"/>
    <s v="FREESHIP"/>
    <x v="1"/>
    <n v="548.24"/>
    <n v="1096.48"/>
  </r>
  <r>
    <s v="ORD200883"/>
    <x v="557"/>
    <s v="C43595"/>
    <x v="4"/>
    <n v="5"/>
    <n v="561.48"/>
    <s v="451 Main St"/>
    <x v="1"/>
    <x v="3"/>
    <s v="TRK25317348"/>
    <n v="9"/>
    <x v="3"/>
    <s v="FREESHIP"/>
    <x v="3"/>
    <n v="2807.4"/>
    <n v="2245.92"/>
  </r>
  <r>
    <s v="ORD200884"/>
    <x v="571"/>
    <s v="C71471"/>
    <x v="3"/>
    <n v="1"/>
    <n v="595.54"/>
    <s v="817 Main St"/>
    <x v="3"/>
    <x v="0"/>
    <s v="TRK52137079"/>
    <n v="4"/>
    <x v="2"/>
    <s v="NO-DISCOUNT"/>
    <x v="0"/>
    <n v="595.54"/>
    <n v="1786.62"/>
  </r>
  <r>
    <s v="ORD200885"/>
    <x v="158"/>
    <s v="C61090"/>
    <x v="5"/>
    <n v="4"/>
    <n v="515.59"/>
    <s v="387 Main St"/>
    <x v="2"/>
    <x v="0"/>
    <s v="TRK36388962"/>
    <n v="7"/>
    <x v="2"/>
    <s v="FREESHIP"/>
    <x v="4"/>
    <n v="2062.36"/>
    <n v="1546.77"/>
  </r>
  <r>
    <s v="ORD200886"/>
    <x v="385"/>
    <s v="C29620"/>
    <x v="1"/>
    <n v="1"/>
    <n v="460.13"/>
    <s v="792 Main St"/>
    <x v="2"/>
    <x v="2"/>
    <s v="TRK22046456"/>
    <n v="1"/>
    <x v="5"/>
    <s v="NO-DISCOUNT"/>
    <x v="4"/>
    <n v="460.13"/>
    <n v="0"/>
  </r>
  <r>
    <s v="ORD200887"/>
    <x v="36"/>
    <s v="C67932"/>
    <x v="3"/>
    <n v="3"/>
    <n v="171.66"/>
    <s v="857 Main St"/>
    <x v="0"/>
    <x v="3"/>
    <s v="TRK88547534"/>
    <n v="7"/>
    <x v="3"/>
    <s v="NO-DISCOUNT"/>
    <x v="4"/>
    <n v="514.98"/>
    <n v="686.64"/>
  </r>
  <r>
    <s v="ORD200888"/>
    <x v="572"/>
    <s v="C14427"/>
    <x v="5"/>
    <n v="2"/>
    <n v="266.95"/>
    <s v="833 Main St"/>
    <x v="2"/>
    <x v="4"/>
    <s v="TRK58024529"/>
    <n v="3"/>
    <x v="1"/>
    <s v="NO-DISCOUNT"/>
    <x v="0"/>
    <n v="533.9"/>
    <n v="266.95"/>
  </r>
  <r>
    <s v="ORD200889"/>
    <x v="245"/>
    <s v="C36725"/>
    <x v="0"/>
    <n v="5"/>
    <n v="650.72"/>
    <s v="350 Main St"/>
    <x v="2"/>
    <x v="1"/>
    <s v="TRK16808790"/>
    <n v="8"/>
    <x v="2"/>
    <s v="WINTER15"/>
    <x v="2"/>
    <n v="3253.6"/>
    <n v="1952.16"/>
  </r>
  <r>
    <s v="ORD200890"/>
    <x v="178"/>
    <s v="C51921"/>
    <x v="5"/>
    <n v="3"/>
    <n v="439.53"/>
    <s v="943 Main St"/>
    <x v="0"/>
    <x v="4"/>
    <s v="TRK85741716"/>
    <n v="5"/>
    <x v="0"/>
    <s v="NO-DISCOUNT"/>
    <x v="4"/>
    <n v="1318.59"/>
    <n v="879.06"/>
  </r>
  <r>
    <s v="ORD200891"/>
    <x v="433"/>
    <s v="C36534"/>
    <x v="0"/>
    <n v="3"/>
    <n v="654.54"/>
    <s v="918 Main St"/>
    <x v="4"/>
    <x v="2"/>
    <s v="TRK38952138"/>
    <n v="7"/>
    <x v="3"/>
    <s v="SAVE10"/>
    <x v="1"/>
    <n v="1963.62"/>
    <n v="2618.16"/>
  </r>
  <r>
    <s v="ORD200892"/>
    <x v="573"/>
    <s v="C72043"/>
    <x v="6"/>
    <n v="1"/>
    <n v="394.53"/>
    <s v="480 Main St"/>
    <x v="4"/>
    <x v="0"/>
    <s v="TRK40896408"/>
    <n v="2"/>
    <x v="1"/>
    <s v="FREESHIP"/>
    <x v="1"/>
    <n v="394.53"/>
    <n v="394.53"/>
  </r>
  <r>
    <s v="ORD200893"/>
    <x v="574"/>
    <s v="C99533"/>
    <x v="0"/>
    <n v="1"/>
    <n v="678.01"/>
    <s v="696 Main St"/>
    <x v="4"/>
    <x v="4"/>
    <s v="TRK55701253"/>
    <n v="4"/>
    <x v="2"/>
    <s v="FREESHIP"/>
    <x v="1"/>
    <n v="678.01"/>
    <n v="2034.03"/>
  </r>
  <r>
    <s v="ORD200894"/>
    <x v="575"/>
    <s v="C90852"/>
    <x v="2"/>
    <n v="3"/>
    <n v="575.01"/>
    <s v="852 Main St"/>
    <x v="1"/>
    <x v="1"/>
    <s v="TRK37551831"/>
    <n v="8"/>
    <x v="4"/>
    <s v="WINTER15"/>
    <x v="0"/>
    <n v="1725.03"/>
    <n v="2875.05"/>
  </r>
  <r>
    <s v="ORD200895"/>
    <x v="576"/>
    <s v="C81882"/>
    <x v="3"/>
    <n v="3"/>
    <n v="154.63999999999999"/>
    <s v="832 Main St"/>
    <x v="0"/>
    <x v="4"/>
    <s v="TRK62371264"/>
    <n v="6"/>
    <x v="2"/>
    <s v="WINTER15"/>
    <x v="3"/>
    <n v="463.92"/>
    <n v="463.91999999999996"/>
  </r>
  <r>
    <s v="ORD200896"/>
    <x v="266"/>
    <s v="C85466"/>
    <x v="6"/>
    <n v="3"/>
    <n v="147.29"/>
    <s v="102 Main St"/>
    <x v="3"/>
    <x v="0"/>
    <s v="TRK66764177"/>
    <n v="3"/>
    <x v="5"/>
    <s v="FREESHIP"/>
    <x v="4"/>
    <n v="441.87"/>
    <n v="0"/>
  </r>
  <r>
    <s v="ORD200897"/>
    <x v="459"/>
    <s v="C87995"/>
    <x v="5"/>
    <n v="4"/>
    <n v="481.48"/>
    <s v="358 Main St"/>
    <x v="3"/>
    <x v="3"/>
    <s v="TRK38730545"/>
    <n v="5"/>
    <x v="1"/>
    <s v="SAVE10"/>
    <x v="0"/>
    <n v="1925.92"/>
    <n v="481.48"/>
  </r>
  <r>
    <s v="ORD200898"/>
    <x v="376"/>
    <s v="C44619"/>
    <x v="0"/>
    <n v="3"/>
    <n v="158.37"/>
    <s v="742 Main St"/>
    <x v="4"/>
    <x v="0"/>
    <s v="TRK66662528"/>
    <n v="6"/>
    <x v="2"/>
    <s v="NO-DISCOUNT"/>
    <x v="1"/>
    <n v="475.11"/>
    <n v="475.11"/>
  </r>
  <r>
    <s v="ORD200899"/>
    <x v="577"/>
    <s v="C99904"/>
    <x v="4"/>
    <n v="2"/>
    <n v="323.37"/>
    <s v="552 Main St"/>
    <x v="1"/>
    <x v="4"/>
    <s v="TRK83843411"/>
    <n v="3"/>
    <x v="1"/>
    <s v="SAVE10"/>
    <x v="0"/>
    <n v="646.74"/>
    <n v="323.37"/>
  </r>
  <r>
    <s v="ORD200900"/>
    <x v="492"/>
    <s v="C52342"/>
    <x v="5"/>
    <n v="5"/>
    <n v="73.83"/>
    <s v="991 Main St"/>
    <x v="0"/>
    <x v="4"/>
    <s v="TRK67342586"/>
    <n v="9"/>
    <x v="3"/>
    <s v="NO-DISCOUNT"/>
    <x v="0"/>
    <n v="369.15"/>
    <n v="295.32"/>
  </r>
  <r>
    <s v="ORD200901"/>
    <x v="578"/>
    <s v="C44277"/>
    <x v="2"/>
    <n v="1"/>
    <n v="458.63"/>
    <s v="839 Main St"/>
    <x v="0"/>
    <x v="2"/>
    <s v="TRK79321479"/>
    <n v="4"/>
    <x v="2"/>
    <s v="WINTER15"/>
    <x v="1"/>
    <n v="458.63"/>
    <n v="1375.8899999999999"/>
  </r>
  <r>
    <s v="ORD200902"/>
    <x v="579"/>
    <s v="C61162"/>
    <x v="0"/>
    <n v="4"/>
    <n v="180.25"/>
    <s v="813 Main St"/>
    <x v="0"/>
    <x v="1"/>
    <s v="TRK76712124"/>
    <n v="7"/>
    <x v="2"/>
    <s v="NO-DISCOUNT"/>
    <x v="3"/>
    <n v="721"/>
    <n v="540.75"/>
  </r>
  <r>
    <s v="ORD200903"/>
    <x v="209"/>
    <s v="C80868"/>
    <x v="0"/>
    <n v="3"/>
    <n v="473.49"/>
    <s v="205 Main St"/>
    <x v="2"/>
    <x v="4"/>
    <s v="TRK56186636"/>
    <n v="7"/>
    <x v="3"/>
    <s v="NO-DISCOUNT"/>
    <x v="2"/>
    <n v="1420.47"/>
    <n v="1893.96"/>
  </r>
  <r>
    <s v="ORD200904"/>
    <x v="580"/>
    <s v="C16693"/>
    <x v="0"/>
    <n v="4"/>
    <n v="237.43"/>
    <s v="262 Main St"/>
    <x v="4"/>
    <x v="1"/>
    <s v="TRK41146508"/>
    <n v="8"/>
    <x v="3"/>
    <s v="WINTER15"/>
    <x v="1"/>
    <n v="949.72"/>
    <n v="949.72"/>
  </r>
  <r>
    <s v="ORD200905"/>
    <x v="581"/>
    <s v="C67818"/>
    <x v="5"/>
    <n v="1"/>
    <n v="442.39"/>
    <s v="101 Main St"/>
    <x v="3"/>
    <x v="4"/>
    <s v="TRK81978113"/>
    <n v="6"/>
    <x v="4"/>
    <s v="FREESHIP"/>
    <x v="3"/>
    <n v="442.39"/>
    <n v="2211.9499999999998"/>
  </r>
  <r>
    <s v="ORD200906"/>
    <x v="459"/>
    <s v="C49938"/>
    <x v="0"/>
    <n v="1"/>
    <n v="62.12"/>
    <s v="141 Main St"/>
    <x v="4"/>
    <x v="2"/>
    <s v="TRK80175572"/>
    <n v="2"/>
    <x v="1"/>
    <s v="NO-DISCOUNT"/>
    <x v="2"/>
    <n v="62.12"/>
    <n v="62.12"/>
  </r>
  <r>
    <s v="ORD200907"/>
    <x v="548"/>
    <s v="C90898"/>
    <x v="6"/>
    <n v="5"/>
    <n v="298.39"/>
    <s v="583 Main St"/>
    <x v="3"/>
    <x v="1"/>
    <s v="TRK52935170"/>
    <n v="7"/>
    <x v="0"/>
    <s v="WINTER15"/>
    <x v="1"/>
    <n v="1491.95"/>
    <n v="596.78"/>
  </r>
  <r>
    <s v="ORD200908"/>
    <x v="138"/>
    <s v="C35117"/>
    <x v="6"/>
    <n v="2"/>
    <n v="697.93"/>
    <s v="332 Main St"/>
    <x v="2"/>
    <x v="1"/>
    <s v="TRK27155709"/>
    <n v="2"/>
    <x v="5"/>
    <s v="SAVE10"/>
    <x v="4"/>
    <n v="1395.86"/>
    <n v="0"/>
  </r>
  <r>
    <s v="ORD200909"/>
    <x v="582"/>
    <s v="C60203"/>
    <x v="2"/>
    <n v="2"/>
    <n v="291.85000000000002"/>
    <s v="569 Main St"/>
    <x v="4"/>
    <x v="0"/>
    <s v="TRK76525279"/>
    <n v="5"/>
    <x v="2"/>
    <s v="FREESHIP"/>
    <x v="0"/>
    <n v="583.70000000000005"/>
    <n v="875.55000000000007"/>
  </r>
  <r>
    <s v="ORD200910"/>
    <x v="583"/>
    <s v="C36174"/>
    <x v="4"/>
    <n v="3"/>
    <n v="308.98"/>
    <s v="348 Main St"/>
    <x v="4"/>
    <x v="3"/>
    <s v="TRK26397548"/>
    <n v="3"/>
    <x v="5"/>
    <s v="SAVE10"/>
    <x v="0"/>
    <n v="926.94"/>
    <n v="0"/>
  </r>
  <r>
    <s v="ORD200911"/>
    <x v="584"/>
    <s v="C80872"/>
    <x v="6"/>
    <n v="5"/>
    <n v="396.86"/>
    <s v="593 Main St"/>
    <x v="4"/>
    <x v="1"/>
    <s v="TRK43967487"/>
    <n v="9"/>
    <x v="3"/>
    <s v="SAVE10"/>
    <x v="0"/>
    <n v="1984.3"/>
    <n v="1587.44"/>
  </r>
  <r>
    <s v="ORD200912"/>
    <x v="585"/>
    <s v="C67604"/>
    <x v="6"/>
    <n v="2"/>
    <n v="139.69"/>
    <s v="318 Main St"/>
    <x v="1"/>
    <x v="2"/>
    <s v="TRK85545920"/>
    <n v="7"/>
    <x v="4"/>
    <s v="FREESHIP"/>
    <x v="2"/>
    <n v="279.38"/>
    <n v="698.45"/>
  </r>
  <r>
    <s v="ORD200913"/>
    <x v="223"/>
    <s v="C45599"/>
    <x v="4"/>
    <n v="5"/>
    <n v="475.95"/>
    <s v="505 Main St"/>
    <x v="2"/>
    <x v="2"/>
    <s v="TRK62277685"/>
    <n v="8"/>
    <x v="2"/>
    <s v="WINTER15"/>
    <x v="3"/>
    <n v="2379.75"/>
    <n v="1427.85"/>
  </r>
  <r>
    <s v="ORD200914"/>
    <x v="441"/>
    <s v="C70352"/>
    <x v="6"/>
    <n v="1"/>
    <n v="626.6"/>
    <s v="955 Main St"/>
    <x v="3"/>
    <x v="2"/>
    <s v="TRK51589589"/>
    <n v="4"/>
    <x v="2"/>
    <s v="WINTER15"/>
    <x v="3"/>
    <n v="626.6"/>
    <n v="1879.8000000000002"/>
  </r>
  <r>
    <s v="ORD200915"/>
    <x v="586"/>
    <s v="C20643"/>
    <x v="5"/>
    <n v="4"/>
    <n v="502.99"/>
    <s v="939 Main St"/>
    <x v="0"/>
    <x v="0"/>
    <s v="TRK30736692"/>
    <n v="4"/>
    <x v="5"/>
    <s v="WINTER15"/>
    <x v="1"/>
    <n v="2011.96"/>
    <n v="0"/>
  </r>
  <r>
    <s v="ORD200916"/>
    <x v="587"/>
    <s v="C35669"/>
    <x v="4"/>
    <n v="5"/>
    <n v="578.83000000000004"/>
    <s v="165 Main St"/>
    <x v="4"/>
    <x v="2"/>
    <s v="TRK13928455"/>
    <n v="6"/>
    <x v="1"/>
    <s v="NO-DISCOUNT"/>
    <x v="1"/>
    <n v="2894.15"/>
    <n v="578.83000000000004"/>
  </r>
  <r>
    <s v="ORD200917"/>
    <x v="588"/>
    <s v="C65524"/>
    <x v="5"/>
    <n v="5"/>
    <n v="383.82"/>
    <s v="836 Main St"/>
    <x v="2"/>
    <x v="2"/>
    <s v="TRK19315310"/>
    <n v="7"/>
    <x v="0"/>
    <s v="FREESHIP"/>
    <x v="4"/>
    <n v="1919.1"/>
    <n v="767.64"/>
  </r>
  <r>
    <s v="ORD200918"/>
    <x v="53"/>
    <s v="C74359"/>
    <x v="5"/>
    <n v="5"/>
    <n v="368.25"/>
    <s v="706 Main St"/>
    <x v="1"/>
    <x v="3"/>
    <s v="TRK18250450"/>
    <n v="5"/>
    <x v="5"/>
    <s v="NO-DISCOUNT"/>
    <x v="0"/>
    <n v="1841.25"/>
    <n v="0"/>
  </r>
  <r>
    <s v="ORD200919"/>
    <x v="492"/>
    <s v="C92086"/>
    <x v="4"/>
    <n v="2"/>
    <n v="374.6"/>
    <s v="187 Main St"/>
    <x v="1"/>
    <x v="0"/>
    <s v="TRK23357668"/>
    <n v="3"/>
    <x v="1"/>
    <s v="FREESHIP"/>
    <x v="1"/>
    <n v="749.2"/>
    <n v="374.6"/>
  </r>
  <r>
    <s v="ORD200920"/>
    <x v="495"/>
    <s v="C26137"/>
    <x v="2"/>
    <n v="2"/>
    <n v="428.09"/>
    <s v="978 Main St"/>
    <x v="2"/>
    <x v="2"/>
    <s v="TRK98110407"/>
    <n v="6"/>
    <x v="3"/>
    <s v="NO-DISCOUNT"/>
    <x v="0"/>
    <n v="856.18"/>
    <n v="1712.36"/>
  </r>
  <r>
    <s v="ORD200921"/>
    <x v="528"/>
    <s v="C90573"/>
    <x v="2"/>
    <n v="1"/>
    <n v="438.93"/>
    <s v="144 Main St"/>
    <x v="3"/>
    <x v="1"/>
    <s v="TRK90075720"/>
    <n v="3"/>
    <x v="0"/>
    <s v="SAVE10"/>
    <x v="1"/>
    <n v="438.93"/>
    <n v="877.86"/>
  </r>
  <r>
    <s v="ORD200922"/>
    <x v="589"/>
    <s v="C81857"/>
    <x v="6"/>
    <n v="2"/>
    <n v="563.82000000000005"/>
    <s v="487 Main St"/>
    <x v="2"/>
    <x v="4"/>
    <s v="TRK79737732"/>
    <n v="3"/>
    <x v="1"/>
    <s v="NO-DISCOUNT"/>
    <x v="0"/>
    <n v="1127.6400000000001"/>
    <n v="563.82000000000005"/>
  </r>
  <r>
    <s v="ORD200923"/>
    <x v="91"/>
    <s v="C91582"/>
    <x v="4"/>
    <n v="3"/>
    <n v="649.92999999999995"/>
    <s v="836 Main St"/>
    <x v="2"/>
    <x v="4"/>
    <s v="TRK99938245"/>
    <n v="7"/>
    <x v="3"/>
    <s v="WINTER15"/>
    <x v="3"/>
    <n v="1949.79"/>
    <n v="2599.7199999999998"/>
  </r>
  <r>
    <s v="ORD200924"/>
    <x v="29"/>
    <s v="C81319"/>
    <x v="4"/>
    <n v="5"/>
    <n v="268.43"/>
    <s v="991 Main St"/>
    <x v="4"/>
    <x v="2"/>
    <s v="TRK55330558"/>
    <n v="5"/>
    <x v="5"/>
    <s v="SAVE10"/>
    <x v="2"/>
    <n v="1342.15"/>
    <n v="0"/>
  </r>
  <r>
    <s v="ORD200925"/>
    <x v="590"/>
    <s v="C78500"/>
    <x v="0"/>
    <n v="5"/>
    <n v="502.47"/>
    <s v="304 Main St"/>
    <x v="1"/>
    <x v="0"/>
    <s v="TRK97460884"/>
    <n v="10"/>
    <x v="4"/>
    <s v="WINTER15"/>
    <x v="2"/>
    <n v="2512.35"/>
    <n v="2512.3500000000004"/>
  </r>
  <r>
    <s v="ORD200926"/>
    <x v="591"/>
    <s v="C67533"/>
    <x v="6"/>
    <n v="1"/>
    <n v="26.95"/>
    <s v="672 Main St"/>
    <x v="4"/>
    <x v="3"/>
    <s v="TRK14566395"/>
    <n v="1"/>
    <x v="5"/>
    <s v="WINTER15"/>
    <x v="2"/>
    <n v="26.95"/>
    <n v="0"/>
  </r>
  <r>
    <s v="ORD200927"/>
    <x v="592"/>
    <s v="C35566"/>
    <x v="5"/>
    <n v="4"/>
    <n v="64.69"/>
    <s v="638 Main St"/>
    <x v="0"/>
    <x v="0"/>
    <s v="TRK10003020"/>
    <n v="7"/>
    <x v="2"/>
    <s v="WINTER15"/>
    <x v="4"/>
    <n v="258.76"/>
    <n v="194.07"/>
  </r>
  <r>
    <s v="ORD200928"/>
    <x v="593"/>
    <s v="C77166"/>
    <x v="5"/>
    <n v="3"/>
    <n v="247.11"/>
    <s v="821 Main St"/>
    <x v="0"/>
    <x v="2"/>
    <s v="TRK18896595"/>
    <n v="3"/>
    <x v="5"/>
    <s v="WINTER15"/>
    <x v="1"/>
    <n v="741.33"/>
    <n v="0"/>
  </r>
  <r>
    <s v="ORD200929"/>
    <x v="594"/>
    <s v="C67936"/>
    <x v="2"/>
    <n v="2"/>
    <n v="536.25"/>
    <s v="553 Main St"/>
    <x v="0"/>
    <x v="4"/>
    <s v="TRK71803414"/>
    <n v="3"/>
    <x v="1"/>
    <s v="NO-DISCOUNT"/>
    <x v="2"/>
    <n v="1072.5"/>
    <n v="536.25"/>
  </r>
  <r>
    <s v="ORD200930"/>
    <x v="393"/>
    <s v="C59554"/>
    <x v="1"/>
    <n v="2"/>
    <n v="456.04"/>
    <s v="382 Main St"/>
    <x v="0"/>
    <x v="2"/>
    <s v="TRK28182447"/>
    <n v="4"/>
    <x v="0"/>
    <s v="FREESHIP"/>
    <x v="2"/>
    <n v="912.08"/>
    <n v="912.08"/>
  </r>
  <r>
    <s v="ORD200931"/>
    <x v="543"/>
    <s v="C14005"/>
    <x v="4"/>
    <n v="2"/>
    <n v="40.229999999999997"/>
    <s v="623 Main St"/>
    <x v="2"/>
    <x v="1"/>
    <s v="TRK87567926"/>
    <n v="4"/>
    <x v="0"/>
    <s v="SAVE10"/>
    <x v="4"/>
    <n v="80.459999999999994"/>
    <n v="80.459999999999994"/>
  </r>
  <r>
    <s v="ORD200932"/>
    <x v="465"/>
    <s v="C26118"/>
    <x v="5"/>
    <n v="2"/>
    <n v="72.39"/>
    <s v="168 Main St"/>
    <x v="1"/>
    <x v="3"/>
    <s v="TRK15334251"/>
    <n v="7"/>
    <x v="4"/>
    <s v="WINTER15"/>
    <x v="0"/>
    <n v="144.78"/>
    <n v="361.95"/>
  </r>
  <r>
    <s v="ORD200933"/>
    <x v="595"/>
    <s v="C59685"/>
    <x v="0"/>
    <n v="2"/>
    <n v="394.16"/>
    <s v="255 Main St"/>
    <x v="1"/>
    <x v="0"/>
    <s v="TRK43718093"/>
    <n v="2"/>
    <x v="5"/>
    <s v="NO-DISCOUNT"/>
    <x v="1"/>
    <n v="788.32"/>
    <n v="0"/>
  </r>
  <r>
    <s v="ORD200934"/>
    <x v="565"/>
    <s v="C40304"/>
    <x v="5"/>
    <n v="4"/>
    <n v="119.84"/>
    <s v="692 Main St"/>
    <x v="3"/>
    <x v="0"/>
    <s v="TRK85790948"/>
    <n v="8"/>
    <x v="3"/>
    <s v="FREESHIP"/>
    <x v="1"/>
    <n v="479.36"/>
    <n v="479.36"/>
  </r>
  <r>
    <s v="ORD200935"/>
    <x v="254"/>
    <s v="C39593"/>
    <x v="1"/>
    <n v="3"/>
    <n v="692.71"/>
    <s v="398 Main St"/>
    <x v="2"/>
    <x v="3"/>
    <s v="TRK62405253"/>
    <n v="3"/>
    <x v="5"/>
    <s v="FREESHIP"/>
    <x v="0"/>
    <n v="2078.13"/>
    <n v="0"/>
  </r>
  <r>
    <s v="ORD200936"/>
    <x v="596"/>
    <s v="C50612"/>
    <x v="3"/>
    <n v="4"/>
    <n v="56.66"/>
    <s v="737 Main St"/>
    <x v="1"/>
    <x v="3"/>
    <s v="TRK44140968"/>
    <n v="4"/>
    <x v="5"/>
    <s v="SAVE10"/>
    <x v="0"/>
    <n v="226.64"/>
    <n v="0"/>
  </r>
  <r>
    <s v="ORD200937"/>
    <x v="462"/>
    <s v="C39791"/>
    <x v="3"/>
    <n v="2"/>
    <n v="298.52999999999997"/>
    <s v="536 Main St"/>
    <x v="0"/>
    <x v="1"/>
    <s v="TRK46221436"/>
    <n v="5"/>
    <x v="2"/>
    <s v="WINTER15"/>
    <x v="2"/>
    <n v="597.05999999999995"/>
    <n v="895.58999999999992"/>
  </r>
  <r>
    <s v="ORD200938"/>
    <x v="219"/>
    <s v="C39017"/>
    <x v="3"/>
    <n v="3"/>
    <n v="331.46"/>
    <s v="696 Main St"/>
    <x v="2"/>
    <x v="1"/>
    <s v="TRK91155214"/>
    <n v="6"/>
    <x v="2"/>
    <s v="WINTER15"/>
    <x v="1"/>
    <n v="994.37999999999988"/>
    <n v="994.37999999999988"/>
  </r>
  <r>
    <s v="ORD200939"/>
    <x v="597"/>
    <s v="C48510"/>
    <x v="5"/>
    <n v="2"/>
    <n v="521.4"/>
    <s v="212 Main St"/>
    <x v="4"/>
    <x v="3"/>
    <s v="TRK53152886"/>
    <n v="7"/>
    <x v="4"/>
    <s v="SAVE10"/>
    <x v="0"/>
    <n v="1042.8"/>
    <n v="2607"/>
  </r>
  <r>
    <s v="ORD200940"/>
    <x v="14"/>
    <s v="C74003"/>
    <x v="4"/>
    <n v="4"/>
    <n v="305.32"/>
    <s v="679 Main St"/>
    <x v="1"/>
    <x v="1"/>
    <s v="TRK91525779"/>
    <n v="4"/>
    <x v="5"/>
    <s v="SAVE10"/>
    <x v="4"/>
    <n v="1221.28"/>
    <n v="0"/>
  </r>
  <r>
    <s v="ORD200941"/>
    <x v="15"/>
    <s v="C91155"/>
    <x v="4"/>
    <n v="5"/>
    <n v="111.7"/>
    <s v="599 Main St"/>
    <x v="2"/>
    <x v="1"/>
    <s v="TRK82162952"/>
    <n v="9"/>
    <x v="3"/>
    <s v="FREESHIP"/>
    <x v="2"/>
    <n v="558.5"/>
    <n v="446.8"/>
  </r>
  <r>
    <s v="ORD200942"/>
    <x v="372"/>
    <s v="C17591"/>
    <x v="2"/>
    <n v="1"/>
    <n v="479.76"/>
    <s v="882 Main St"/>
    <x v="2"/>
    <x v="4"/>
    <s v="TRK56070470"/>
    <n v="1"/>
    <x v="5"/>
    <s v="NO-DISCOUNT"/>
    <x v="2"/>
    <n v="479.76"/>
    <n v="0"/>
  </r>
  <r>
    <s v="ORD200943"/>
    <x v="140"/>
    <s v="C43330"/>
    <x v="0"/>
    <n v="3"/>
    <n v="193.49"/>
    <s v="355 Main St"/>
    <x v="3"/>
    <x v="2"/>
    <s v="TRK71594838"/>
    <n v="6"/>
    <x v="2"/>
    <s v="FREESHIP"/>
    <x v="3"/>
    <n v="580.47"/>
    <n v="580.47"/>
  </r>
  <r>
    <s v="ORD200944"/>
    <x v="393"/>
    <s v="C32687"/>
    <x v="5"/>
    <n v="2"/>
    <n v="426.22"/>
    <s v="448 Main St"/>
    <x v="1"/>
    <x v="3"/>
    <s v="TRK98284560"/>
    <n v="7"/>
    <x v="4"/>
    <s v="WINTER15"/>
    <x v="4"/>
    <n v="852.44"/>
    <n v="2131.1000000000004"/>
  </r>
  <r>
    <s v="ORD200945"/>
    <x v="38"/>
    <s v="C79722"/>
    <x v="2"/>
    <n v="5"/>
    <n v="276.44"/>
    <s v="619 Main St"/>
    <x v="3"/>
    <x v="0"/>
    <s v="TRK29976438"/>
    <n v="10"/>
    <x v="4"/>
    <s v="FREESHIP"/>
    <x v="1"/>
    <n v="1382.2"/>
    <n v="1382.2"/>
  </r>
  <r>
    <s v="ORD200946"/>
    <x v="598"/>
    <s v="C65021"/>
    <x v="1"/>
    <n v="2"/>
    <n v="404.96"/>
    <s v="546 Main St"/>
    <x v="4"/>
    <x v="0"/>
    <s v="TRK20626179"/>
    <n v="4"/>
    <x v="0"/>
    <s v="SAVE10"/>
    <x v="2"/>
    <n v="809.92"/>
    <n v="809.92"/>
  </r>
  <r>
    <s v="ORD200947"/>
    <x v="599"/>
    <s v="C85520"/>
    <x v="1"/>
    <n v="4"/>
    <n v="465.66"/>
    <s v="119 Main St"/>
    <x v="1"/>
    <x v="2"/>
    <s v="TRK65994177"/>
    <n v="9"/>
    <x v="4"/>
    <s v="FREESHIP"/>
    <x v="2"/>
    <n v="1862.64"/>
    <n v="2328.3000000000002"/>
  </r>
  <r>
    <s v="ORD200948"/>
    <x v="587"/>
    <s v="C94569"/>
    <x v="1"/>
    <n v="2"/>
    <n v="594.07000000000005"/>
    <s v="739 Main St"/>
    <x v="3"/>
    <x v="1"/>
    <s v="TRK79269291"/>
    <n v="2"/>
    <x v="5"/>
    <s v="NO-DISCOUNT"/>
    <x v="4"/>
    <n v="1188.1400000000001"/>
    <n v="0"/>
  </r>
  <r>
    <s v="ORD200949"/>
    <x v="576"/>
    <s v="C55778"/>
    <x v="6"/>
    <n v="5"/>
    <n v="110.38"/>
    <s v="319 Main St"/>
    <x v="4"/>
    <x v="4"/>
    <s v="TRK93797108"/>
    <n v="10"/>
    <x v="4"/>
    <s v="NO-DISCOUNT"/>
    <x v="1"/>
    <n v="551.9"/>
    <n v="551.9"/>
  </r>
  <r>
    <s v="ORD200950"/>
    <x v="583"/>
    <s v="C19722"/>
    <x v="5"/>
    <n v="1"/>
    <n v="596.24"/>
    <s v="891 Main St"/>
    <x v="2"/>
    <x v="2"/>
    <s v="TRK78094361"/>
    <n v="4"/>
    <x v="2"/>
    <s v="FREESHIP"/>
    <x v="0"/>
    <n v="596.24"/>
    <n v="1788.72"/>
  </r>
  <r>
    <s v="ORD200951"/>
    <x v="319"/>
    <s v="C74928"/>
    <x v="4"/>
    <n v="2"/>
    <n v="306.24"/>
    <s v="589 Main St"/>
    <x v="1"/>
    <x v="2"/>
    <s v="TRK39845914"/>
    <n v="4"/>
    <x v="0"/>
    <s v="FREESHIP"/>
    <x v="2"/>
    <n v="612.48"/>
    <n v="612.48"/>
  </r>
  <r>
    <s v="ORD200952"/>
    <x v="37"/>
    <s v="C49111"/>
    <x v="0"/>
    <n v="3"/>
    <n v="503.39"/>
    <s v="225 Main St"/>
    <x v="1"/>
    <x v="4"/>
    <s v="TRK45303393"/>
    <n v="5"/>
    <x v="0"/>
    <s v="NO-DISCOUNT"/>
    <x v="3"/>
    <n v="1510.17"/>
    <n v="1006.78"/>
  </r>
  <r>
    <s v="ORD200953"/>
    <x v="600"/>
    <s v="C43721"/>
    <x v="1"/>
    <n v="1"/>
    <n v="131.61000000000001"/>
    <s v="971 Main St"/>
    <x v="4"/>
    <x v="0"/>
    <s v="TRK89392104"/>
    <n v="2"/>
    <x v="1"/>
    <s v="FREESHIP"/>
    <x v="3"/>
    <n v="131.61000000000001"/>
    <n v="131.61000000000001"/>
  </r>
  <r>
    <s v="ORD200954"/>
    <x v="601"/>
    <s v="C68609"/>
    <x v="3"/>
    <n v="3"/>
    <n v="443.44"/>
    <s v="240 Main St"/>
    <x v="3"/>
    <x v="0"/>
    <s v="TRK58273778"/>
    <n v="3"/>
    <x v="5"/>
    <s v="FREESHIP"/>
    <x v="4"/>
    <n v="1330.32"/>
    <n v="0"/>
  </r>
  <r>
    <s v="ORD200955"/>
    <x v="19"/>
    <s v="C82068"/>
    <x v="3"/>
    <n v="1"/>
    <n v="408.13"/>
    <s v="164 Main St"/>
    <x v="3"/>
    <x v="0"/>
    <s v="TRK25779180"/>
    <n v="3"/>
    <x v="0"/>
    <s v="WINTER15"/>
    <x v="0"/>
    <n v="408.13"/>
    <n v="816.26"/>
  </r>
  <r>
    <s v="ORD200956"/>
    <x v="166"/>
    <s v="C21191"/>
    <x v="1"/>
    <n v="2"/>
    <n v="160.97999999999999"/>
    <s v="381 Main St"/>
    <x v="0"/>
    <x v="3"/>
    <s v="TRK86246309"/>
    <n v="3"/>
    <x v="1"/>
    <s v="SAVE10"/>
    <x v="1"/>
    <n v="321.95999999999998"/>
    <n v="160.97999999999999"/>
  </r>
  <r>
    <s v="ORD200957"/>
    <x v="602"/>
    <s v="C73575"/>
    <x v="0"/>
    <n v="5"/>
    <n v="643.89"/>
    <s v="851 Main St"/>
    <x v="4"/>
    <x v="2"/>
    <s v="TRK23387612"/>
    <n v="8"/>
    <x v="2"/>
    <s v="WINTER15"/>
    <x v="3"/>
    <n v="3219.45"/>
    <n v="1931.67"/>
  </r>
  <r>
    <s v="ORD200958"/>
    <x v="603"/>
    <s v="C82685"/>
    <x v="6"/>
    <n v="3"/>
    <n v="158.66"/>
    <s v="537 Main St"/>
    <x v="3"/>
    <x v="3"/>
    <s v="TRK70184320"/>
    <n v="7"/>
    <x v="3"/>
    <s v="WINTER15"/>
    <x v="2"/>
    <n v="475.98"/>
    <n v="634.64"/>
  </r>
  <r>
    <s v="ORD200959"/>
    <x v="604"/>
    <s v="C73996"/>
    <x v="2"/>
    <n v="2"/>
    <n v="143.82"/>
    <s v="856 Main St"/>
    <x v="2"/>
    <x v="2"/>
    <s v="TRK74579570"/>
    <n v="6"/>
    <x v="3"/>
    <s v="SAVE10"/>
    <x v="0"/>
    <n v="287.64"/>
    <n v="575.28"/>
  </r>
  <r>
    <s v="ORD200960"/>
    <x v="66"/>
    <s v="C87687"/>
    <x v="5"/>
    <n v="3"/>
    <n v="379.07"/>
    <s v="312 Main St"/>
    <x v="3"/>
    <x v="4"/>
    <s v="TRK60383805"/>
    <n v="3"/>
    <x v="5"/>
    <s v="WINTER15"/>
    <x v="4"/>
    <n v="1137.21"/>
    <n v="0"/>
  </r>
  <r>
    <s v="ORD200961"/>
    <x v="435"/>
    <s v="C55464"/>
    <x v="1"/>
    <n v="1"/>
    <n v="601.36"/>
    <s v="532 Main St"/>
    <x v="1"/>
    <x v="0"/>
    <s v="TRK81178598"/>
    <n v="1"/>
    <x v="5"/>
    <s v="NO-DISCOUNT"/>
    <x v="3"/>
    <n v="601.36"/>
    <n v="0"/>
  </r>
  <r>
    <s v="ORD200962"/>
    <x v="605"/>
    <s v="C12459"/>
    <x v="1"/>
    <n v="2"/>
    <n v="142.08000000000001"/>
    <s v="838 Main St"/>
    <x v="3"/>
    <x v="3"/>
    <s v="TRK30674085"/>
    <n v="4"/>
    <x v="0"/>
    <s v="SAVE10"/>
    <x v="1"/>
    <n v="284.16000000000003"/>
    <n v="284.16000000000003"/>
  </r>
  <r>
    <s v="ORD200963"/>
    <x v="606"/>
    <s v="C88075"/>
    <x v="3"/>
    <n v="5"/>
    <n v="530.34"/>
    <s v="970 Main St"/>
    <x v="1"/>
    <x v="0"/>
    <s v="TRK42832976"/>
    <n v="9"/>
    <x v="3"/>
    <s v="FREESHIP"/>
    <x v="4"/>
    <n v="2651.7"/>
    <n v="2121.36"/>
  </r>
  <r>
    <s v="ORD200964"/>
    <x v="38"/>
    <s v="C18583"/>
    <x v="1"/>
    <n v="5"/>
    <n v="364.42"/>
    <s v="778 Main St"/>
    <x v="2"/>
    <x v="1"/>
    <s v="TRK43084595"/>
    <n v="10"/>
    <x v="4"/>
    <s v="SAVE10"/>
    <x v="1"/>
    <n v="1822.1"/>
    <n v="1822.1000000000001"/>
  </r>
  <r>
    <s v="ORD200965"/>
    <x v="607"/>
    <s v="C70412"/>
    <x v="5"/>
    <n v="4"/>
    <n v="578.28"/>
    <s v="791 Main St"/>
    <x v="3"/>
    <x v="1"/>
    <s v="TRK22192783"/>
    <n v="5"/>
    <x v="1"/>
    <s v="FREESHIP"/>
    <x v="2"/>
    <n v="2313.12"/>
    <n v="578.28"/>
  </r>
  <r>
    <s v="ORD200966"/>
    <x v="608"/>
    <s v="C58503"/>
    <x v="0"/>
    <n v="5"/>
    <n v="280.52"/>
    <s v="290 Main St"/>
    <x v="2"/>
    <x v="1"/>
    <s v="TRK12981657"/>
    <n v="7"/>
    <x v="0"/>
    <s v="WINTER15"/>
    <x v="3"/>
    <n v="1402.6"/>
    <n v="561.04"/>
  </r>
  <r>
    <s v="ORD200967"/>
    <x v="138"/>
    <s v="C52879"/>
    <x v="2"/>
    <n v="5"/>
    <n v="638.91999999999996"/>
    <s v="502 Main St"/>
    <x v="2"/>
    <x v="2"/>
    <s v="TRK67403284"/>
    <n v="5"/>
    <x v="5"/>
    <s v="FREESHIP"/>
    <x v="4"/>
    <n v="3194.6"/>
    <n v="0"/>
  </r>
  <r>
    <s v="ORD200968"/>
    <x v="458"/>
    <s v="C67870"/>
    <x v="0"/>
    <n v="4"/>
    <n v="412.2"/>
    <s v="664 Main St"/>
    <x v="2"/>
    <x v="0"/>
    <s v="TRK72602178"/>
    <n v="6"/>
    <x v="0"/>
    <s v="WINTER15"/>
    <x v="1"/>
    <n v="1648.8"/>
    <n v="824.4"/>
  </r>
  <r>
    <s v="ORD200969"/>
    <x v="85"/>
    <s v="C19439"/>
    <x v="6"/>
    <n v="1"/>
    <n v="440.34"/>
    <s v="675 Main St"/>
    <x v="3"/>
    <x v="0"/>
    <s v="TRK25383993"/>
    <n v="2"/>
    <x v="1"/>
    <s v="WINTER15"/>
    <x v="3"/>
    <n v="440.34"/>
    <n v="440.34"/>
  </r>
  <r>
    <s v="ORD200970"/>
    <x v="609"/>
    <s v="C72664"/>
    <x v="6"/>
    <n v="1"/>
    <n v="627.15"/>
    <s v="241 Main St"/>
    <x v="4"/>
    <x v="3"/>
    <s v="TRK86694331"/>
    <n v="5"/>
    <x v="3"/>
    <s v="SAVE10"/>
    <x v="0"/>
    <n v="627.15"/>
    <n v="2508.6"/>
  </r>
  <r>
    <s v="ORD200971"/>
    <x v="582"/>
    <s v="C32650"/>
    <x v="0"/>
    <n v="2"/>
    <n v="605.26"/>
    <s v="934 Main St"/>
    <x v="4"/>
    <x v="1"/>
    <s v="TRK66648743"/>
    <n v="4"/>
    <x v="0"/>
    <s v="WINTER15"/>
    <x v="1"/>
    <n v="1210.52"/>
    <n v="1210.52"/>
  </r>
  <r>
    <s v="ORD200972"/>
    <x v="410"/>
    <s v="C66438"/>
    <x v="5"/>
    <n v="1"/>
    <n v="90.27"/>
    <s v="816 Main St"/>
    <x v="4"/>
    <x v="3"/>
    <s v="TRK32035271"/>
    <n v="5"/>
    <x v="3"/>
    <s v="SAVE10"/>
    <x v="3"/>
    <n v="90.27"/>
    <n v="361.08"/>
  </r>
  <r>
    <s v="ORD200973"/>
    <x v="559"/>
    <s v="C70010"/>
    <x v="6"/>
    <n v="5"/>
    <n v="230.77"/>
    <s v="141 Main St"/>
    <x v="1"/>
    <x v="4"/>
    <s v="TRK50594008"/>
    <n v="10"/>
    <x v="4"/>
    <s v="WINTER15"/>
    <x v="1"/>
    <n v="1153.8499999999999"/>
    <n v="1153.8500000000001"/>
  </r>
  <r>
    <s v="ORD200974"/>
    <x v="610"/>
    <s v="C30722"/>
    <x v="6"/>
    <n v="5"/>
    <n v="266.77999999999997"/>
    <s v="274 Main St"/>
    <x v="3"/>
    <x v="1"/>
    <s v="TRK52088168"/>
    <n v="5"/>
    <x v="5"/>
    <s v="NO-DISCOUNT"/>
    <x v="2"/>
    <n v="1333.9"/>
    <n v="0"/>
  </r>
  <r>
    <s v="ORD200975"/>
    <x v="419"/>
    <s v="C70529"/>
    <x v="6"/>
    <n v="1"/>
    <n v="105.92"/>
    <s v="974 Main St"/>
    <x v="3"/>
    <x v="2"/>
    <s v="TRK82165408"/>
    <n v="6"/>
    <x v="4"/>
    <s v="SAVE10"/>
    <x v="2"/>
    <n v="105.92"/>
    <n v="529.6"/>
  </r>
  <r>
    <s v="ORD200976"/>
    <x v="172"/>
    <s v="C18984"/>
    <x v="2"/>
    <n v="3"/>
    <n v="589.29999999999995"/>
    <s v="650 Main St"/>
    <x v="2"/>
    <x v="2"/>
    <s v="TRK49298239"/>
    <n v="6"/>
    <x v="2"/>
    <s v="WINTER15"/>
    <x v="1"/>
    <n v="1767.9"/>
    <n v="1767.8999999999999"/>
  </r>
  <r>
    <s v="ORD200977"/>
    <x v="423"/>
    <s v="C85841"/>
    <x v="3"/>
    <n v="4"/>
    <n v="649.47"/>
    <s v="608 Main St"/>
    <x v="4"/>
    <x v="4"/>
    <s v="TRK99820544"/>
    <n v="8"/>
    <x v="3"/>
    <s v="SAVE10"/>
    <x v="4"/>
    <n v="2597.88"/>
    <n v="2597.88"/>
  </r>
  <r>
    <s v="ORD200978"/>
    <x v="611"/>
    <s v="C41508"/>
    <x v="4"/>
    <n v="4"/>
    <n v="107.49"/>
    <s v="993 Main St"/>
    <x v="4"/>
    <x v="3"/>
    <s v="TRK61047536"/>
    <n v="5"/>
    <x v="1"/>
    <s v="NO-DISCOUNT"/>
    <x v="4"/>
    <n v="429.96"/>
    <n v="107.49"/>
  </r>
  <r>
    <s v="ORD200979"/>
    <x v="546"/>
    <s v="C75018"/>
    <x v="0"/>
    <n v="3"/>
    <n v="669.06"/>
    <s v="299 Main St"/>
    <x v="4"/>
    <x v="3"/>
    <s v="TRK51794806"/>
    <n v="7"/>
    <x v="3"/>
    <s v="SAVE10"/>
    <x v="3"/>
    <n v="2007.18"/>
    <n v="2676.24"/>
  </r>
  <r>
    <s v="ORD200980"/>
    <x v="612"/>
    <s v="C84320"/>
    <x v="3"/>
    <n v="3"/>
    <n v="69.650000000000006"/>
    <s v="107 Main St"/>
    <x v="4"/>
    <x v="3"/>
    <s v="TRK81093218"/>
    <n v="7"/>
    <x v="3"/>
    <s v="WINTER15"/>
    <x v="0"/>
    <n v="208.95"/>
    <n v="278.60000000000002"/>
  </r>
  <r>
    <s v="ORD200981"/>
    <x v="371"/>
    <s v="C12609"/>
    <x v="1"/>
    <n v="4"/>
    <n v="136.83000000000001"/>
    <s v="490 Main St"/>
    <x v="0"/>
    <x v="4"/>
    <s v="TRK56379337"/>
    <n v="8"/>
    <x v="3"/>
    <s v="SAVE10"/>
    <x v="2"/>
    <n v="547.32000000000005"/>
    <n v="547.32000000000005"/>
  </r>
  <r>
    <s v="ORD200982"/>
    <x v="605"/>
    <s v="C64935"/>
    <x v="0"/>
    <n v="1"/>
    <n v="304.11"/>
    <s v="707 Main St"/>
    <x v="3"/>
    <x v="0"/>
    <s v="TRK42969065"/>
    <n v="2"/>
    <x v="1"/>
    <s v="SAVE10"/>
    <x v="1"/>
    <n v="304.11"/>
    <n v="304.11"/>
  </r>
  <r>
    <s v="ORD200983"/>
    <x v="167"/>
    <s v="C67528"/>
    <x v="0"/>
    <n v="4"/>
    <n v="296.27999999999997"/>
    <s v="110 Main St"/>
    <x v="3"/>
    <x v="0"/>
    <s v="TRK60865210"/>
    <n v="5"/>
    <x v="1"/>
    <s v="SAVE10"/>
    <x v="2"/>
    <n v="1185.1199999999999"/>
    <n v="296.27999999999997"/>
  </r>
  <r>
    <s v="ORD200984"/>
    <x v="252"/>
    <s v="C44176"/>
    <x v="6"/>
    <n v="1"/>
    <n v="77.64"/>
    <s v="706 Main St"/>
    <x v="2"/>
    <x v="0"/>
    <s v="TRK68704764"/>
    <n v="1"/>
    <x v="5"/>
    <s v="FREESHIP"/>
    <x v="3"/>
    <n v="77.64"/>
    <n v="0"/>
  </r>
  <r>
    <s v="ORD200985"/>
    <x v="351"/>
    <s v="C92788"/>
    <x v="6"/>
    <n v="1"/>
    <n v="243.71"/>
    <s v="948 Main St"/>
    <x v="3"/>
    <x v="3"/>
    <s v="TRK83835361"/>
    <n v="6"/>
    <x v="4"/>
    <s v="SAVE10"/>
    <x v="4"/>
    <n v="243.71"/>
    <n v="1218.55"/>
  </r>
  <r>
    <s v="ORD200986"/>
    <x v="609"/>
    <s v="C69213"/>
    <x v="5"/>
    <n v="4"/>
    <n v="644.96"/>
    <s v="533 Main St"/>
    <x v="2"/>
    <x v="4"/>
    <s v="TRK67837331"/>
    <n v="7"/>
    <x v="2"/>
    <s v="FREESHIP"/>
    <x v="2"/>
    <n v="2579.84"/>
    <n v="1934.88"/>
  </r>
  <r>
    <s v="ORD200987"/>
    <x v="85"/>
    <s v="C67387"/>
    <x v="1"/>
    <n v="5"/>
    <n v="283.73"/>
    <s v="436 Main St"/>
    <x v="3"/>
    <x v="4"/>
    <s v="TRK54120003"/>
    <n v="8"/>
    <x v="2"/>
    <s v="FREESHIP"/>
    <x v="0"/>
    <n v="1418.65"/>
    <n v="851.19"/>
  </r>
  <r>
    <s v="ORD200988"/>
    <x v="496"/>
    <s v="C90318"/>
    <x v="6"/>
    <n v="2"/>
    <n v="629.55999999999995"/>
    <s v="818 Main St"/>
    <x v="3"/>
    <x v="1"/>
    <s v="TRK52765043"/>
    <n v="5"/>
    <x v="2"/>
    <s v="WINTER15"/>
    <x v="0"/>
    <n v="1259.1199999999999"/>
    <n v="1888.6799999999998"/>
  </r>
  <r>
    <s v="ORD200989"/>
    <x v="613"/>
    <s v="C49995"/>
    <x v="5"/>
    <n v="4"/>
    <n v="246.11"/>
    <s v="559 Main St"/>
    <x v="2"/>
    <x v="4"/>
    <s v="TRK33212013"/>
    <n v="4"/>
    <x v="5"/>
    <s v="SAVE10"/>
    <x v="0"/>
    <n v="984.44"/>
    <n v="0"/>
  </r>
  <r>
    <s v="ORD200990"/>
    <x v="614"/>
    <s v="C52313"/>
    <x v="1"/>
    <n v="2"/>
    <n v="418.26"/>
    <s v="913 Main St"/>
    <x v="0"/>
    <x v="4"/>
    <s v="TRK67368559"/>
    <n v="2"/>
    <x v="5"/>
    <s v="SAVE10"/>
    <x v="4"/>
    <n v="836.52"/>
    <n v="0"/>
  </r>
  <r>
    <s v="ORD200991"/>
    <x v="593"/>
    <s v="C10211"/>
    <x v="6"/>
    <n v="5"/>
    <n v="127.18"/>
    <s v="598 Main St"/>
    <x v="0"/>
    <x v="1"/>
    <s v="TRK68938335"/>
    <n v="10"/>
    <x v="4"/>
    <s v="FREESHIP"/>
    <x v="4"/>
    <n v="635.90000000000009"/>
    <n v="635.90000000000009"/>
  </r>
  <r>
    <s v="ORD200992"/>
    <x v="615"/>
    <s v="C97907"/>
    <x v="4"/>
    <n v="3"/>
    <n v="586.21"/>
    <s v="933 Main St"/>
    <x v="3"/>
    <x v="4"/>
    <s v="TRK89637569"/>
    <n v="4"/>
    <x v="1"/>
    <s v="WINTER15"/>
    <x v="1"/>
    <n v="1758.63"/>
    <n v="586.21"/>
  </r>
  <r>
    <s v="ORD200993"/>
    <x v="616"/>
    <s v="C61384"/>
    <x v="0"/>
    <n v="3"/>
    <n v="267.45"/>
    <s v="576 Main St"/>
    <x v="3"/>
    <x v="3"/>
    <s v="TRK33323210"/>
    <n v="5"/>
    <x v="0"/>
    <s v="WINTER15"/>
    <x v="0"/>
    <n v="802.34999999999991"/>
    <n v="534.9"/>
  </r>
  <r>
    <s v="ORD200994"/>
    <x v="326"/>
    <s v="C27613"/>
    <x v="2"/>
    <n v="4"/>
    <n v="615.65"/>
    <s v="971 Main St"/>
    <x v="0"/>
    <x v="3"/>
    <s v="TRK63701318"/>
    <n v="9"/>
    <x v="4"/>
    <s v="WINTER15"/>
    <x v="4"/>
    <n v="2462.6"/>
    <n v="3078.25"/>
  </r>
  <r>
    <s v="ORD200995"/>
    <x v="134"/>
    <s v="C99271"/>
    <x v="0"/>
    <n v="2"/>
    <n v="113.29"/>
    <s v="959 Main St"/>
    <x v="4"/>
    <x v="4"/>
    <s v="TRK87832736"/>
    <n v="5"/>
    <x v="2"/>
    <s v="SAVE10"/>
    <x v="3"/>
    <n v="226.58"/>
    <n v="339.87"/>
  </r>
  <r>
    <s v="ORD200996"/>
    <x v="578"/>
    <s v="C28648"/>
    <x v="0"/>
    <n v="4"/>
    <n v="473.86"/>
    <s v="101 Main St"/>
    <x v="0"/>
    <x v="3"/>
    <s v="TRK92240846"/>
    <n v="7"/>
    <x v="2"/>
    <s v="SAVE10"/>
    <x v="3"/>
    <n v="1895.44"/>
    <n v="1421.58"/>
  </r>
  <r>
    <s v="ORD200997"/>
    <x v="110"/>
    <s v="C26210"/>
    <x v="5"/>
    <n v="3"/>
    <n v="444.75"/>
    <s v="805 Main St"/>
    <x v="4"/>
    <x v="3"/>
    <s v="TRK40616861"/>
    <n v="6"/>
    <x v="2"/>
    <s v="SAVE10"/>
    <x v="3"/>
    <n v="1334.25"/>
    <n v="1334.25"/>
  </r>
  <r>
    <s v="ORD200998"/>
    <x v="213"/>
    <s v="C90350"/>
    <x v="1"/>
    <n v="2"/>
    <n v="183.67"/>
    <s v="783 Main St"/>
    <x v="0"/>
    <x v="1"/>
    <s v="TRK22824230"/>
    <n v="6"/>
    <x v="3"/>
    <s v="SAVE10"/>
    <x v="4"/>
    <n v="367.34"/>
    <n v="734.68"/>
  </r>
  <r>
    <s v="ORD200999"/>
    <x v="478"/>
    <s v="C61957"/>
    <x v="4"/>
    <n v="1"/>
    <n v="483.38"/>
    <s v="652 Main St"/>
    <x v="4"/>
    <x v="4"/>
    <s v="TRK43983841"/>
    <n v="6"/>
    <x v="4"/>
    <s v="FREESHIP"/>
    <x v="4"/>
    <n v="483.38"/>
    <n v="2416.9"/>
  </r>
  <r>
    <s v="ORD201000"/>
    <x v="617"/>
    <s v="C90132"/>
    <x v="4"/>
    <n v="5"/>
    <n v="260.93"/>
    <s v="582 Main St"/>
    <x v="1"/>
    <x v="3"/>
    <s v="TRK52664903"/>
    <n v="9"/>
    <x v="3"/>
    <s v="SAVE10"/>
    <x v="2"/>
    <n v="1304.6500000000001"/>
    <n v="1043.72"/>
  </r>
  <r>
    <s v="ORD201001"/>
    <x v="618"/>
    <s v="C31371"/>
    <x v="4"/>
    <n v="2"/>
    <n v="253.68"/>
    <s v="122 Main St"/>
    <x v="3"/>
    <x v="0"/>
    <s v="TRK19554327"/>
    <n v="6"/>
    <x v="3"/>
    <s v="NO-DISCOUNT"/>
    <x v="1"/>
    <n v="507.36"/>
    <n v="1014.72"/>
  </r>
  <r>
    <s v="ORD201002"/>
    <x v="619"/>
    <s v="C83911"/>
    <x v="2"/>
    <n v="4"/>
    <n v="699.88"/>
    <s v="944 Main St"/>
    <x v="4"/>
    <x v="4"/>
    <s v="TRK33188106"/>
    <n v="5"/>
    <x v="1"/>
    <s v="WINTER15"/>
    <x v="1"/>
    <n v="2799.52"/>
    <n v="699.88"/>
  </r>
  <r>
    <s v="ORD201003"/>
    <x v="348"/>
    <s v="C84700"/>
    <x v="4"/>
    <n v="5"/>
    <n v="319.97000000000003"/>
    <s v="582 Main St"/>
    <x v="4"/>
    <x v="0"/>
    <s v="TRK14706969"/>
    <n v="7"/>
    <x v="0"/>
    <s v="SAVE10"/>
    <x v="4"/>
    <n v="1599.85"/>
    <n v="639.94000000000005"/>
  </r>
  <r>
    <s v="ORD201004"/>
    <x v="559"/>
    <s v="C87529"/>
    <x v="3"/>
    <n v="4"/>
    <n v="246.91"/>
    <s v="296 Main St"/>
    <x v="1"/>
    <x v="4"/>
    <s v="TRK15739505"/>
    <n v="8"/>
    <x v="3"/>
    <s v="SAVE10"/>
    <x v="1"/>
    <n v="987.64"/>
    <n v="987.64"/>
  </r>
  <r>
    <s v="ORD201005"/>
    <x v="521"/>
    <s v="C38065"/>
    <x v="4"/>
    <n v="3"/>
    <n v="392.85"/>
    <s v="426 Main St"/>
    <x v="2"/>
    <x v="2"/>
    <s v="TRK11448295"/>
    <n v="6"/>
    <x v="2"/>
    <s v="NO-DISCOUNT"/>
    <x v="4"/>
    <n v="1178.55"/>
    <n v="1178.5500000000002"/>
  </r>
  <r>
    <s v="ORD201006"/>
    <x v="582"/>
    <s v="C27435"/>
    <x v="2"/>
    <n v="5"/>
    <n v="420.98"/>
    <s v="860 Main St"/>
    <x v="4"/>
    <x v="3"/>
    <s v="TRK91458233"/>
    <n v="7"/>
    <x v="0"/>
    <s v="SAVE10"/>
    <x v="3"/>
    <n v="2104.9"/>
    <n v="841.96"/>
  </r>
  <r>
    <s v="ORD201007"/>
    <x v="591"/>
    <s v="C46651"/>
    <x v="0"/>
    <n v="2"/>
    <n v="73.260000000000005"/>
    <s v="839 Main St"/>
    <x v="4"/>
    <x v="4"/>
    <s v="TRK60444502"/>
    <n v="4"/>
    <x v="0"/>
    <s v="WINTER15"/>
    <x v="3"/>
    <n v="146.52000000000001"/>
    <n v="146.52000000000001"/>
  </r>
  <r>
    <s v="ORD201008"/>
    <x v="620"/>
    <s v="C62557"/>
    <x v="0"/>
    <n v="3"/>
    <n v="410.88"/>
    <s v="257 Main St"/>
    <x v="4"/>
    <x v="3"/>
    <s v="TRK12742366"/>
    <n v="8"/>
    <x v="4"/>
    <s v="FREESHIP"/>
    <x v="0"/>
    <n v="1232.6400000000001"/>
    <n v="2054.4"/>
  </r>
  <r>
    <s v="ORD201009"/>
    <x v="621"/>
    <s v="C54494"/>
    <x v="2"/>
    <n v="2"/>
    <n v="176.46"/>
    <s v="696 Main St"/>
    <x v="2"/>
    <x v="3"/>
    <s v="TRK95958645"/>
    <n v="2"/>
    <x v="5"/>
    <s v="FREESHIP"/>
    <x v="2"/>
    <n v="352.92"/>
    <n v="0"/>
  </r>
  <r>
    <s v="ORD201010"/>
    <x v="622"/>
    <s v="C33729"/>
    <x v="0"/>
    <n v="3"/>
    <n v="659.57"/>
    <s v="533 Main St"/>
    <x v="2"/>
    <x v="1"/>
    <s v="TRK35649833"/>
    <n v="6"/>
    <x v="2"/>
    <s v="SAVE10"/>
    <x v="2"/>
    <n v="1978.71"/>
    <n v="1978.71"/>
  </r>
  <r>
    <s v="ORD201011"/>
    <x v="623"/>
    <s v="C47823"/>
    <x v="1"/>
    <n v="2"/>
    <n v="478.36"/>
    <s v="654 Main St"/>
    <x v="1"/>
    <x v="0"/>
    <s v="TRK22271097"/>
    <n v="3"/>
    <x v="1"/>
    <s v="NO-DISCOUNT"/>
    <x v="4"/>
    <n v="956.72"/>
    <n v="478.36"/>
  </r>
  <r>
    <s v="ORD201012"/>
    <x v="623"/>
    <s v="C84570"/>
    <x v="4"/>
    <n v="4"/>
    <n v="30.05"/>
    <s v="301 Main St"/>
    <x v="1"/>
    <x v="2"/>
    <s v="TRK12551882"/>
    <n v="6"/>
    <x v="0"/>
    <s v="NO-DISCOUNT"/>
    <x v="3"/>
    <n v="120.2"/>
    <n v="60.1"/>
  </r>
  <r>
    <s v="ORD201013"/>
    <x v="624"/>
    <s v="C91123"/>
    <x v="5"/>
    <n v="4"/>
    <n v="300.56"/>
    <s v="842 Main St"/>
    <x v="4"/>
    <x v="1"/>
    <s v="TRK49568409"/>
    <n v="9"/>
    <x v="4"/>
    <s v="FREESHIP"/>
    <x v="3"/>
    <n v="1202.24"/>
    <n v="1502.8"/>
  </r>
  <r>
    <s v="ORD201014"/>
    <x v="389"/>
    <s v="C92548"/>
    <x v="2"/>
    <n v="5"/>
    <n v="226.45"/>
    <s v="160 Main St"/>
    <x v="0"/>
    <x v="2"/>
    <s v="TRK21682892"/>
    <n v="6"/>
    <x v="1"/>
    <s v="FREESHIP"/>
    <x v="2"/>
    <n v="1132.25"/>
    <n v="226.45"/>
  </r>
  <r>
    <s v="ORD201015"/>
    <x v="547"/>
    <s v="C97454"/>
    <x v="4"/>
    <n v="2"/>
    <n v="349.4"/>
    <s v="892 Main St"/>
    <x v="1"/>
    <x v="0"/>
    <s v="TRK73249329"/>
    <n v="2"/>
    <x v="5"/>
    <s v="SAVE10"/>
    <x v="0"/>
    <n v="698.8"/>
    <n v="0"/>
  </r>
  <r>
    <s v="ORD201016"/>
    <x v="10"/>
    <s v="C20257"/>
    <x v="2"/>
    <n v="5"/>
    <n v="268.77999999999997"/>
    <s v="669 Main St"/>
    <x v="0"/>
    <x v="3"/>
    <s v="TRK62135578"/>
    <n v="7"/>
    <x v="0"/>
    <s v="WINTER15"/>
    <x v="2"/>
    <n v="1343.9"/>
    <n v="537.55999999999995"/>
  </r>
  <r>
    <s v="ORD201017"/>
    <x v="625"/>
    <s v="C51694"/>
    <x v="3"/>
    <n v="2"/>
    <n v="680.85"/>
    <s v="953 Main St"/>
    <x v="3"/>
    <x v="3"/>
    <s v="TRK83122112"/>
    <n v="6"/>
    <x v="3"/>
    <s v="FREESHIP"/>
    <x v="1"/>
    <n v="1361.7"/>
    <n v="2723.4"/>
  </r>
  <r>
    <s v="ORD201018"/>
    <x v="307"/>
    <s v="C77499"/>
    <x v="5"/>
    <n v="3"/>
    <n v="182.48"/>
    <s v="209 Main St"/>
    <x v="4"/>
    <x v="3"/>
    <s v="TRK20703086"/>
    <n v="3"/>
    <x v="5"/>
    <s v="NO-DISCOUNT"/>
    <x v="0"/>
    <n v="547.43999999999994"/>
    <n v="0"/>
  </r>
  <r>
    <s v="ORD201019"/>
    <x v="616"/>
    <s v="C28386"/>
    <x v="6"/>
    <n v="1"/>
    <n v="277.08999999999997"/>
    <s v="293 Main St"/>
    <x v="4"/>
    <x v="2"/>
    <s v="TRK32954229"/>
    <n v="2"/>
    <x v="1"/>
    <s v="SAVE10"/>
    <x v="1"/>
    <n v="277.08999999999997"/>
    <n v="277.08999999999997"/>
  </r>
  <r>
    <s v="ORD201020"/>
    <x v="181"/>
    <s v="C50211"/>
    <x v="2"/>
    <n v="2"/>
    <n v="26.5"/>
    <s v="312 Main St"/>
    <x v="1"/>
    <x v="3"/>
    <s v="TRK47787981"/>
    <n v="3"/>
    <x v="1"/>
    <s v="SAVE10"/>
    <x v="0"/>
    <n v="53"/>
    <n v="26.5"/>
  </r>
  <r>
    <s v="ORD201021"/>
    <x v="5"/>
    <s v="C74519"/>
    <x v="1"/>
    <n v="3"/>
    <n v="315.27"/>
    <s v="309 Main St"/>
    <x v="2"/>
    <x v="1"/>
    <s v="TRK97351945"/>
    <n v="4"/>
    <x v="1"/>
    <s v="SAVE10"/>
    <x v="2"/>
    <n v="945.81"/>
    <n v="315.27"/>
  </r>
  <r>
    <s v="ORD201022"/>
    <x v="522"/>
    <s v="C19071"/>
    <x v="2"/>
    <n v="3"/>
    <n v="450.98"/>
    <s v="396 Main St"/>
    <x v="2"/>
    <x v="0"/>
    <s v="TRK66537096"/>
    <n v="8"/>
    <x v="4"/>
    <s v="SAVE10"/>
    <x v="1"/>
    <n v="1352.94"/>
    <n v="2254.9"/>
  </r>
  <r>
    <s v="ORD201023"/>
    <x v="296"/>
    <s v="C65251"/>
    <x v="5"/>
    <n v="5"/>
    <n v="233.67"/>
    <s v="291 Main St"/>
    <x v="4"/>
    <x v="0"/>
    <s v="TRK32059025"/>
    <n v="10"/>
    <x v="4"/>
    <s v="NO-DISCOUNT"/>
    <x v="1"/>
    <n v="1168.3499999999999"/>
    <n v="1168.3499999999999"/>
  </r>
  <r>
    <s v="ORD201024"/>
    <x v="412"/>
    <s v="C90612"/>
    <x v="3"/>
    <n v="3"/>
    <n v="367.75"/>
    <s v="731 Main St"/>
    <x v="4"/>
    <x v="4"/>
    <s v="TRK93022878"/>
    <n v="7"/>
    <x v="3"/>
    <s v="FREESHIP"/>
    <x v="3"/>
    <n v="1103.25"/>
    <n v="1471"/>
  </r>
  <r>
    <s v="ORD201025"/>
    <x v="271"/>
    <s v="C28406"/>
    <x v="3"/>
    <n v="1"/>
    <n v="23.53"/>
    <s v="174 Main St"/>
    <x v="3"/>
    <x v="3"/>
    <s v="TRK98841457"/>
    <n v="2"/>
    <x v="1"/>
    <s v="FREESHIP"/>
    <x v="0"/>
    <n v="23.53"/>
    <n v="23.53"/>
  </r>
  <r>
    <s v="ORD201026"/>
    <x v="31"/>
    <s v="C55454"/>
    <x v="0"/>
    <n v="1"/>
    <n v="677.48"/>
    <s v="807 Main St"/>
    <x v="1"/>
    <x v="3"/>
    <s v="TRK13281370"/>
    <n v="1"/>
    <x v="5"/>
    <s v="WINTER15"/>
    <x v="3"/>
    <n v="677.48"/>
    <n v="0"/>
  </r>
  <r>
    <s v="ORD201027"/>
    <x v="626"/>
    <s v="C93467"/>
    <x v="5"/>
    <n v="4"/>
    <n v="554.83000000000004"/>
    <s v="983 Main St"/>
    <x v="4"/>
    <x v="2"/>
    <s v="TRK77377373"/>
    <n v="6"/>
    <x v="0"/>
    <s v="NO-DISCOUNT"/>
    <x v="4"/>
    <n v="2219.3200000000002"/>
    <n v="1109.6600000000001"/>
  </r>
  <r>
    <s v="ORD201028"/>
    <x v="96"/>
    <s v="C60042"/>
    <x v="6"/>
    <n v="4"/>
    <n v="440.31"/>
    <s v="610 Main St"/>
    <x v="4"/>
    <x v="1"/>
    <s v="TRK84651559"/>
    <n v="6"/>
    <x v="0"/>
    <s v="NO-DISCOUNT"/>
    <x v="0"/>
    <n v="1761.24"/>
    <n v="880.62"/>
  </r>
  <r>
    <s v="ORD201029"/>
    <x v="627"/>
    <s v="C44733"/>
    <x v="6"/>
    <n v="1"/>
    <n v="87.06"/>
    <s v="851 Main St"/>
    <x v="2"/>
    <x v="0"/>
    <s v="TRK41500198"/>
    <n v="4"/>
    <x v="2"/>
    <s v="FREESHIP"/>
    <x v="2"/>
    <n v="87.06"/>
    <n v="261.18"/>
  </r>
  <r>
    <s v="ORD201030"/>
    <x v="276"/>
    <s v="C61773"/>
    <x v="1"/>
    <n v="4"/>
    <n v="245.28"/>
    <s v="176 Main St"/>
    <x v="2"/>
    <x v="3"/>
    <s v="TRK12936357"/>
    <n v="6"/>
    <x v="0"/>
    <s v="WINTER15"/>
    <x v="2"/>
    <n v="981.12"/>
    <n v="490.56"/>
  </r>
  <r>
    <s v="ORD201031"/>
    <x v="285"/>
    <s v="C59183"/>
    <x v="1"/>
    <n v="5"/>
    <n v="664.51"/>
    <s v="136 Main St"/>
    <x v="0"/>
    <x v="4"/>
    <s v="TRK18129706"/>
    <n v="8"/>
    <x v="2"/>
    <s v="SAVE10"/>
    <x v="2"/>
    <n v="3322.55"/>
    <n v="1993.53"/>
  </r>
  <r>
    <s v="ORD201032"/>
    <x v="197"/>
    <s v="C26188"/>
    <x v="3"/>
    <n v="1"/>
    <n v="618.67999999999995"/>
    <s v="990 Main St"/>
    <x v="1"/>
    <x v="3"/>
    <s v="TRK61634201"/>
    <n v="6"/>
    <x v="4"/>
    <s v="WINTER15"/>
    <x v="1"/>
    <n v="618.67999999999995"/>
    <n v="3093.3999999999996"/>
  </r>
  <r>
    <s v="ORD201033"/>
    <x v="628"/>
    <s v="C20338"/>
    <x v="0"/>
    <n v="1"/>
    <n v="370.85"/>
    <s v="331 Main St"/>
    <x v="3"/>
    <x v="3"/>
    <s v="TRK30654048"/>
    <n v="2"/>
    <x v="1"/>
    <s v="FREESHIP"/>
    <x v="1"/>
    <n v="370.85"/>
    <n v="370.85"/>
  </r>
  <r>
    <s v="ORD201034"/>
    <x v="452"/>
    <s v="C84524"/>
    <x v="4"/>
    <n v="4"/>
    <n v="517.98"/>
    <s v="766 Main St"/>
    <x v="4"/>
    <x v="1"/>
    <s v="TRK76751888"/>
    <n v="8"/>
    <x v="3"/>
    <s v="FREESHIP"/>
    <x v="3"/>
    <n v="2071.92"/>
    <n v="2071.92"/>
  </r>
  <r>
    <s v="ORD201035"/>
    <x v="629"/>
    <s v="C70315"/>
    <x v="5"/>
    <n v="4"/>
    <n v="506.11"/>
    <s v="911 Main St"/>
    <x v="4"/>
    <x v="1"/>
    <s v="TRK97732085"/>
    <n v="5"/>
    <x v="1"/>
    <s v="NO-DISCOUNT"/>
    <x v="1"/>
    <n v="2024.44"/>
    <n v="506.11"/>
  </r>
  <r>
    <s v="ORD201036"/>
    <x v="583"/>
    <s v="C98278"/>
    <x v="1"/>
    <n v="3"/>
    <n v="413.83"/>
    <s v="552 Main St"/>
    <x v="3"/>
    <x v="0"/>
    <s v="TRK49684737"/>
    <n v="8"/>
    <x v="4"/>
    <s v="SAVE10"/>
    <x v="3"/>
    <n v="1241.49"/>
    <n v="2069.15"/>
  </r>
  <r>
    <s v="ORD201037"/>
    <x v="141"/>
    <s v="C32347"/>
    <x v="4"/>
    <n v="1"/>
    <n v="249.81"/>
    <s v="408 Main St"/>
    <x v="4"/>
    <x v="4"/>
    <s v="TRK54073964"/>
    <n v="1"/>
    <x v="5"/>
    <s v="SAVE10"/>
    <x v="4"/>
    <n v="249.81"/>
    <n v="0"/>
  </r>
  <r>
    <s v="ORD201038"/>
    <x v="175"/>
    <s v="C77961"/>
    <x v="2"/>
    <n v="3"/>
    <n v="362.53"/>
    <s v="422 Main St"/>
    <x v="0"/>
    <x v="2"/>
    <s v="TRK28969024"/>
    <n v="5"/>
    <x v="0"/>
    <s v="NO-DISCOUNT"/>
    <x v="3"/>
    <n v="1087.5899999999999"/>
    <n v="725.06"/>
  </r>
  <r>
    <s v="ORD201039"/>
    <x v="164"/>
    <s v="C49137"/>
    <x v="6"/>
    <n v="2"/>
    <n v="299.23"/>
    <s v="177 Main St"/>
    <x v="2"/>
    <x v="1"/>
    <s v="TRK79362428"/>
    <n v="2"/>
    <x v="5"/>
    <s v="WINTER15"/>
    <x v="0"/>
    <n v="598.46"/>
    <n v="0"/>
  </r>
  <r>
    <s v="ORD201040"/>
    <x v="375"/>
    <s v="C13169"/>
    <x v="2"/>
    <n v="1"/>
    <n v="536.07000000000005"/>
    <s v="932 Main St"/>
    <x v="0"/>
    <x v="3"/>
    <s v="TRK66288666"/>
    <n v="5"/>
    <x v="3"/>
    <s v="FREESHIP"/>
    <x v="4"/>
    <n v="536.07000000000005"/>
    <n v="2144.2800000000002"/>
  </r>
  <r>
    <s v="ORD201041"/>
    <x v="91"/>
    <s v="C21167"/>
    <x v="0"/>
    <n v="4"/>
    <n v="558.9"/>
    <s v="948 Main St"/>
    <x v="3"/>
    <x v="0"/>
    <s v="TRK97737564"/>
    <n v="9"/>
    <x v="4"/>
    <s v="WINTER15"/>
    <x v="4"/>
    <n v="2235.6"/>
    <n v="2794.5"/>
  </r>
  <r>
    <s v="ORD201042"/>
    <x v="65"/>
    <s v="C59724"/>
    <x v="2"/>
    <n v="2"/>
    <n v="409.75"/>
    <s v="414 Main St"/>
    <x v="0"/>
    <x v="0"/>
    <s v="TRK67878272"/>
    <n v="2"/>
    <x v="5"/>
    <s v="WINTER15"/>
    <x v="3"/>
    <n v="819.5"/>
    <n v="0"/>
  </r>
  <r>
    <s v="ORD201043"/>
    <x v="630"/>
    <s v="C43965"/>
    <x v="2"/>
    <n v="2"/>
    <n v="179.96"/>
    <s v="675 Main St"/>
    <x v="3"/>
    <x v="0"/>
    <s v="TRK94346739"/>
    <n v="5"/>
    <x v="2"/>
    <s v="NO-DISCOUNT"/>
    <x v="0"/>
    <n v="359.92"/>
    <n v="539.88"/>
  </r>
  <r>
    <s v="ORD201044"/>
    <x v="450"/>
    <s v="C63018"/>
    <x v="4"/>
    <n v="1"/>
    <n v="38.49"/>
    <s v="215 Main St"/>
    <x v="2"/>
    <x v="3"/>
    <s v="TRK52335337"/>
    <n v="4"/>
    <x v="2"/>
    <s v="FREESHIP"/>
    <x v="1"/>
    <n v="38.49"/>
    <n v="115.47"/>
  </r>
  <r>
    <s v="ORD201045"/>
    <x v="28"/>
    <s v="C11893"/>
    <x v="5"/>
    <n v="5"/>
    <n v="316.39999999999998"/>
    <s v="671 Main St"/>
    <x v="3"/>
    <x v="2"/>
    <s v="TRK72012758"/>
    <n v="7"/>
    <x v="0"/>
    <s v="NO-DISCOUNT"/>
    <x v="2"/>
    <n v="1582"/>
    <n v="632.79999999999995"/>
  </r>
  <r>
    <s v="ORD201046"/>
    <x v="550"/>
    <s v="C85421"/>
    <x v="2"/>
    <n v="3"/>
    <n v="547.15"/>
    <s v="466 Main St"/>
    <x v="1"/>
    <x v="0"/>
    <s v="TRK16524006"/>
    <n v="4"/>
    <x v="1"/>
    <s v="WINTER15"/>
    <x v="0"/>
    <n v="1641.45"/>
    <n v="547.15"/>
  </r>
  <r>
    <s v="ORD201047"/>
    <x v="467"/>
    <s v="C81726"/>
    <x v="3"/>
    <n v="4"/>
    <n v="540.34"/>
    <s v="394 Main St"/>
    <x v="3"/>
    <x v="0"/>
    <s v="TRK69872994"/>
    <n v="6"/>
    <x v="0"/>
    <s v="WINTER15"/>
    <x v="1"/>
    <n v="2161.36"/>
    <n v="1080.68"/>
  </r>
  <r>
    <s v="ORD201048"/>
    <x v="82"/>
    <s v="C57601"/>
    <x v="0"/>
    <n v="4"/>
    <n v="73.650000000000006"/>
    <s v="889 Main St"/>
    <x v="0"/>
    <x v="0"/>
    <s v="TRK21153699"/>
    <n v="9"/>
    <x v="4"/>
    <s v="NO-DISCOUNT"/>
    <x v="4"/>
    <n v="294.60000000000002"/>
    <n v="368.25"/>
  </r>
  <r>
    <s v="ORD201049"/>
    <x v="408"/>
    <s v="C60575"/>
    <x v="6"/>
    <n v="5"/>
    <n v="391.86"/>
    <s v="587 Main St"/>
    <x v="2"/>
    <x v="0"/>
    <s v="TRK44468232"/>
    <n v="6"/>
    <x v="1"/>
    <s v="NO-DISCOUNT"/>
    <x v="0"/>
    <n v="1959.3"/>
    <n v="391.86"/>
  </r>
  <r>
    <s v="ORD201050"/>
    <x v="38"/>
    <s v="C70659"/>
    <x v="5"/>
    <n v="5"/>
    <n v="69.7"/>
    <s v="722 Main St"/>
    <x v="1"/>
    <x v="2"/>
    <s v="TRK49663597"/>
    <n v="9"/>
    <x v="3"/>
    <s v="NO-DISCOUNT"/>
    <x v="0"/>
    <n v="348.5"/>
    <n v="278.8"/>
  </r>
  <r>
    <s v="ORD201051"/>
    <x v="376"/>
    <s v="C35043"/>
    <x v="0"/>
    <n v="5"/>
    <n v="26.43"/>
    <s v="820 Main St"/>
    <x v="3"/>
    <x v="0"/>
    <s v="TRK65097450"/>
    <n v="5"/>
    <x v="5"/>
    <s v="FREESHIP"/>
    <x v="3"/>
    <n v="132.15"/>
    <n v="0"/>
  </r>
  <r>
    <s v="ORD201052"/>
    <x v="631"/>
    <s v="C12301"/>
    <x v="2"/>
    <n v="1"/>
    <n v="531.74"/>
    <s v="493 Main St"/>
    <x v="1"/>
    <x v="0"/>
    <s v="TRK25145796"/>
    <n v="1"/>
    <x v="5"/>
    <s v="WINTER15"/>
    <x v="4"/>
    <n v="531.74"/>
    <n v="0"/>
  </r>
  <r>
    <s v="ORD201053"/>
    <x v="632"/>
    <s v="C32798"/>
    <x v="1"/>
    <n v="2"/>
    <n v="496.62"/>
    <s v="679 Main St"/>
    <x v="1"/>
    <x v="4"/>
    <s v="TRK37375451"/>
    <n v="2"/>
    <x v="5"/>
    <s v="SAVE10"/>
    <x v="0"/>
    <n v="993.24"/>
    <n v="0"/>
  </r>
  <r>
    <s v="ORD201054"/>
    <x v="633"/>
    <s v="C42949"/>
    <x v="4"/>
    <n v="1"/>
    <n v="660.66"/>
    <s v="447 Main St"/>
    <x v="0"/>
    <x v="3"/>
    <s v="TRK46415143"/>
    <n v="3"/>
    <x v="0"/>
    <s v="WINTER15"/>
    <x v="0"/>
    <n v="660.66"/>
    <n v="1321.32"/>
  </r>
  <r>
    <s v="ORD201055"/>
    <x v="5"/>
    <s v="C10787"/>
    <x v="0"/>
    <n v="4"/>
    <n v="274.82"/>
    <s v="932 Main St"/>
    <x v="0"/>
    <x v="3"/>
    <s v="TRK91512567"/>
    <n v="9"/>
    <x v="4"/>
    <s v="WINTER15"/>
    <x v="2"/>
    <n v="1099.28"/>
    <n v="1374.1"/>
  </r>
  <r>
    <s v="ORD201056"/>
    <x v="280"/>
    <s v="C26152"/>
    <x v="1"/>
    <n v="2"/>
    <n v="486.35"/>
    <s v="790 Main St"/>
    <x v="1"/>
    <x v="4"/>
    <s v="TRK49382455"/>
    <n v="6"/>
    <x v="3"/>
    <s v="SAVE10"/>
    <x v="1"/>
    <n v="972.7"/>
    <n v="1945.4"/>
  </r>
  <r>
    <s v="ORD201057"/>
    <x v="634"/>
    <s v="C46210"/>
    <x v="5"/>
    <n v="3"/>
    <n v="428.88"/>
    <s v="535 Main St"/>
    <x v="0"/>
    <x v="0"/>
    <s v="TRK81611937"/>
    <n v="3"/>
    <x v="5"/>
    <s v="WINTER15"/>
    <x v="3"/>
    <n v="1286.6400000000001"/>
    <n v="0"/>
  </r>
  <r>
    <s v="ORD201058"/>
    <x v="102"/>
    <s v="C32943"/>
    <x v="6"/>
    <n v="2"/>
    <n v="412.14"/>
    <s v="127 Main St"/>
    <x v="2"/>
    <x v="2"/>
    <s v="TRK26949106"/>
    <n v="2"/>
    <x v="5"/>
    <s v="FREESHIP"/>
    <x v="0"/>
    <n v="824.28"/>
    <n v="0"/>
  </r>
  <r>
    <s v="ORD201059"/>
    <x v="491"/>
    <s v="C73629"/>
    <x v="6"/>
    <n v="1"/>
    <n v="265.64"/>
    <s v="601 Main St"/>
    <x v="2"/>
    <x v="2"/>
    <s v="TRK11492924"/>
    <n v="3"/>
    <x v="0"/>
    <s v="WINTER15"/>
    <x v="0"/>
    <n v="265.64"/>
    <n v="531.28"/>
  </r>
  <r>
    <s v="ORD201060"/>
    <x v="635"/>
    <s v="C38024"/>
    <x v="2"/>
    <n v="2"/>
    <n v="273.43"/>
    <s v="824 Main St"/>
    <x v="4"/>
    <x v="0"/>
    <s v="TRK93370912"/>
    <n v="7"/>
    <x v="4"/>
    <s v="WINTER15"/>
    <x v="1"/>
    <n v="546.86"/>
    <n v="1367.15"/>
  </r>
  <r>
    <s v="ORD201061"/>
    <x v="636"/>
    <s v="C25445"/>
    <x v="5"/>
    <n v="5"/>
    <n v="131.69999999999999"/>
    <s v="830 Main St"/>
    <x v="4"/>
    <x v="0"/>
    <s v="TRK12402431"/>
    <n v="8"/>
    <x v="2"/>
    <s v="FREESHIP"/>
    <x v="4"/>
    <n v="658.5"/>
    <n v="395.09999999999997"/>
  </r>
  <r>
    <s v="ORD201062"/>
    <x v="421"/>
    <s v="C13501"/>
    <x v="3"/>
    <n v="5"/>
    <n v="85.52"/>
    <s v="301 Main St"/>
    <x v="3"/>
    <x v="1"/>
    <s v="TRK65149372"/>
    <n v="5"/>
    <x v="5"/>
    <s v="NO-DISCOUNT"/>
    <x v="3"/>
    <n v="427.6"/>
    <n v="0"/>
  </r>
  <r>
    <s v="ORD201063"/>
    <x v="83"/>
    <s v="C42108"/>
    <x v="6"/>
    <n v="2"/>
    <n v="320.68"/>
    <s v="336 Main St"/>
    <x v="2"/>
    <x v="0"/>
    <s v="TRK58407918"/>
    <n v="5"/>
    <x v="2"/>
    <s v="FREESHIP"/>
    <x v="1"/>
    <n v="641.36"/>
    <n v="962.04"/>
  </r>
  <r>
    <s v="ORD201064"/>
    <x v="637"/>
    <s v="C32121"/>
    <x v="5"/>
    <n v="4"/>
    <n v="198.81"/>
    <s v="654 Main St"/>
    <x v="4"/>
    <x v="2"/>
    <s v="TRK96074264"/>
    <n v="9"/>
    <x v="4"/>
    <s v="FREESHIP"/>
    <x v="1"/>
    <n v="795.24"/>
    <n v="994.05"/>
  </r>
  <r>
    <s v="ORD201065"/>
    <x v="638"/>
    <s v="C47778"/>
    <x v="4"/>
    <n v="5"/>
    <n v="666.8"/>
    <s v="488 Main St"/>
    <x v="0"/>
    <x v="3"/>
    <s v="TRK79504329"/>
    <n v="7"/>
    <x v="0"/>
    <s v="SAVE10"/>
    <x v="1"/>
    <n v="3334"/>
    <n v="1333.6"/>
  </r>
  <r>
    <s v="ORD201066"/>
    <x v="639"/>
    <s v="C10791"/>
    <x v="6"/>
    <n v="1"/>
    <n v="355.09"/>
    <s v="674 Main St"/>
    <x v="0"/>
    <x v="1"/>
    <s v="TRK20321248"/>
    <n v="5"/>
    <x v="3"/>
    <s v="SAVE10"/>
    <x v="0"/>
    <n v="355.09"/>
    <n v="1420.36"/>
  </r>
  <r>
    <s v="ORD201067"/>
    <x v="640"/>
    <s v="C78959"/>
    <x v="1"/>
    <n v="2"/>
    <n v="316.2"/>
    <s v="384 Main St"/>
    <x v="1"/>
    <x v="2"/>
    <s v="TRK37426359"/>
    <n v="2"/>
    <x v="5"/>
    <s v="NO-DISCOUNT"/>
    <x v="0"/>
    <n v="632.4"/>
    <n v="0"/>
  </r>
  <r>
    <s v="ORD201068"/>
    <x v="240"/>
    <s v="C29914"/>
    <x v="5"/>
    <n v="1"/>
    <n v="133.38999999999999"/>
    <s v="469 Main St"/>
    <x v="0"/>
    <x v="0"/>
    <s v="TRK22073506"/>
    <n v="2"/>
    <x v="1"/>
    <s v="SAVE10"/>
    <x v="1"/>
    <n v="133.38999999999999"/>
    <n v="133.38999999999999"/>
  </r>
  <r>
    <s v="ORD201069"/>
    <x v="641"/>
    <s v="C70506"/>
    <x v="0"/>
    <n v="1"/>
    <n v="454.23"/>
    <s v="255 Main St"/>
    <x v="3"/>
    <x v="2"/>
    <s v="TRK12518384"/>
    <n v="3"/>
    <x v="0"/>
    <s v="NO-DISCOUNT"/>
    <x v="3"/>
    <n v="454.23"/>
    <n v="908.46"/>
  </r>
  <r>
    <s v="ORD201070"/>
    <x v="605"/>
    <s v="C46873"/>
    <x v="6"/>
    <n v="4"/>
    <n v="491.29"/>
    <s v="496 Main St"/>
    <x v="0"/>
    <x v="4"/>
    <s v="TRK10926575"/>
    <n v="6"/>
    <x v="0"/>
    <s v="NO-DISCOUNT"/>
    <x v="2"/>
    <n v="1965.16"/>
    <n v="982.58"/>
  </r>
  <r>
    <s v="ORD201071"/>
    <x v="53"/>
    <s v="C94037"/>
    <x v="1"/>
    <n v="2"/>
    <n v="255.14"/>
    <s v="216 Main St"/>
    <x v="4"/>
    <x v="0"/>
    <s v="TRK47536985"/>
    <n v="2"/>
    <x v="5"/>
    <s v="NO-DISCOUNT"/>
    <x v="4"/>
    <n v="510.28"/>
    <n v="0"/>
  </r>
  <r>
    <s v="ORD201072"/>
    <x v="297"/>
    <s v="C88644"/>
    <x v="0"/>
    <n v="1"/>
    <n v="392.61"/>
    <s v="977 Main St"/>
    <x v="3"/>
    <x v="1"/>
    <s v="TRK14900878"/>
    <n v="4"/>
    <x v="2"/>
    <s v="SAVE10"/>
    <x v="1"/>
    <n v="392.61"/>
    <n v="1177.83"/>
  </r>
  <r>
    <s v="ORD201073"/>
    <x v="642"/>
    <s v="C69471"/>
    <x v="2"/>
    <n v="4"/>
    <n v="362.06"/>
    <s v="294 Main St"/>
    <x v="0"/>
    <x v="2"/>
    <s v="TRK11107152"/>
    <n v="4"/>
    <x v="5"/>
    <s v="NO-DISCOUNT"/>
    <x v="3"/>
    <n v="1448.24"/>
    <n v="0"/>
  </r>
  <r>
    <s v="ORD201074"/>
    <x v="451"/>
    <s v="C21437"/>
    <x v="1"/>
    <n v="1"/>
    <n v="222.73"/>
    <s v="120 Main St"/>
    <x v="1"/>
    <x v="2"/>
    <s v="TRK81624772"/>
    <n v="4"/>
    <x v="2"/>
    <s v="NO-DISCOUNT"/>
    <x v="4"/>
    <n v="222.73"/>
    <n v="668.18999999999994"/>
  </r>
  <r>
    <s v="ORD201075"/>
    <x v="169"/>
    <s v="C40949"/>
    <x v="0"/>
    <n v="2"/>
    <n v="552.63"/>
    <s v="609 Main St"/>
    <x v="0"/>
    <x v="3"/>
    <s v="TRK43066749"/>
    <n v="7"/>
    <x v="4"/>
    <s v="WINTER15"/>
    <x v="0"/>
    <n v="1105.26"/>
    <n v="2763.15"/>
  </r>
  <r>
    <s v="ORD201076"/>
    <x v="20"/>
    <s v="C99116"/>
    <x v="5"/>
    <n v="4"/>
    <n v="686.61"/>
    <s v="176 Main St"/>
    <x v="4"/>
    <x v="0"/>
    <s v="TRK52711973"/>
    <n v="6"/>
    <x v="0"/>
    <s v="NO-DISCOUNT"/>
    <x v="1"/>
    <n v="2746.44"/>
    <n v="1373.22"/>
  </r>
  <r>
    <s v="ORD201077"/>
    <x v="456"/>
    <s v="C57861"/>
    <x v="4"/>
    <n v="3"/>
    <n v="305.16000000000003"/>
    <s v="115 Main St"/>
    <x v="2"/>
    <x v="1"/>
    <s v="TRK47775217"/>
    <n v="8"/>
    <x v="4"/>
    <s v="SAVE10"/>
    <x v="1"/>
    <n v="915.48"/>
    <n v="1525.8000000000002"/>
  </r>
  <r>
    <s v="ORD201078"/>
    <x v="168"/>
    <s v="C62627"/>
    <x v="6"/>
    <n v="1"/>
    <n v="41.09"/>
    <s v="881 Main St"/>
    <x v="1"/>
    <x v="2"/>
    <s v="TRK90060232"/>
    <n v="4"/>
    <x v="2"/>
    <s v="WINTER15"/>
    <x v="2"/>
    <n v="41.09"/>
    <n v="123.27000000000001"/>
  </r>
  <r>
    <s v="ORD201079"/>
    <x v="643"/>
    <s v="C89979"/>
    <x v="1"/>
    <n v="5"/>
    <n v="634"/>
    <s v="144 Main St"/>
    <x v="3"/>
    <x v="3"/>
    <s v="TRK99055909"/>
    <n v="8"/>
    <x v="2"/>
    <s v="NO-DISCOUNT"/>
    <x v="2"/>
    <n v="3170"/>
    <n v="1902"/>
  </r>
  <r>
    <s v="ORD201080"/>
    <x v="325"/>
    <s v="C70613"/>
    <x v="5"/>
    <n v="5"/>
    <n v="464.74"/>
    <s v="438 Main St"/>
    <x v="3"/>
    <x v="3"/>
    <s v="TRK33140293"/>
    <n v="7"/>
    <x v="0"/>
    <s v="NO-DISCOUNT"/>
    <x v="1"/>
    <n v="2323.6999999999998"/>
    <n v="929.48"/>
  </r>
  <r>
    <s v="ORD201081"/>
    <x v="453"/>
    <s v="C55636"/>
    <x v="0"/>
    <n v="4"/>
    <n v="425.6"/>
    <s v="494 Main St"/>
    <x v="2"/>
    <x v="4"/>
    <s v="TRK85897054"/>
    <n v="5"/>
    <x v="1"/>
    <s v="FREESHIP"/>
    <x v="4"/>
    <n v="1702.4"/>
    <n v="425.6"/>
  </r>
  <r>
    <s v="ORD201082"/>
    <x v="426"/>
    <s v="C96595"/>
    <x v="3"/>
    <n v="3"/>
    <n v="573.22"/>
    <s v="177 Main St"/>
    <x v="0"/>
    <x v="4"/>
    <s v="TRK59779174"/>
    <n v="5"/>
    <x v="0"/>
    <s v="SAVE10"/>
    <x v="2"/>
    <n v="1719.66"/>
    <n v="1146.44"/>
  </r>
  <r>
    <s v="ORD201083"/>
    <x v="644"/>
    <s v="C68508"/>
    <x v="3"/>
    <n v="1"/>
    <n v="123.28"/>
    <s v="895 Main St"/>
    <x v="2"/>
    <x v="3"/>
    <s v="TRK98960285"/>
    <n v="3"/>
    <x v="0"/>
    <s v="SAVE10"/>
    <x v="2"/>
    <n v="123.28"/>
    <n v="246.56"/>
  </r>
  <r>
    <s v="ORD201084"/>
    <x v="124"/>
    <s v="C45175"/>
    <x v="1"/>
    <n v="1"/>
    <n v="70.819999999999993"/>
    <s v="128 Main St"/>
    <x v="3"/>
    <x v="4"/>
    <s v="TRK41792296"/>
    <n v="1"/>
    <x v="5"/>
    <s v="WINTER15"/>
    <x v="0"/>
    <n v="70.819999999999993"/>
    <n v="0"/>
  </r>
  <r>
    <s v="ORD201085"/>
    <x v="54"/>
    <s v="C28049"/>
    <x v="4"/>
    <n v="2"/>
    <n v="646.69000000000005"/>
    <s v="404 Main St"/>
    <x v="0"/>
    <x v="0"/>
    <s v="TRK91426444"/>
    <n v="7"/>
    <x v="4"/>
    <s v="WINTER15"/>
    <x v="0"/>
    <n v="1293.3800000000001"/>
    <n v="3233.4500000000003"/>
  </r>
  <r>
    <s v="ORD201086"/>
    <x v="475"/>
    <s v="C46967"/>
    <x v="2"/>
    <n v="2"/>
    <n v="513.41999999999996"/>
    <s v="401 Main St"/>
    <x v="1"/>
    <x v="4"/>
    <s v="TRK91439791"/>
    <n v="5"/>
    <x v="2"/>
    <s v="WINTER15"/>
    <x v="0"/>
    <n v="1026.8399999999999"/>
    <n v="1540.2599999999998"/>
  </r>
  <r>
    <s v="ORD201087"/>
    <x v="411"/>
    <s v="C84134"/>
    <x v="5"/>
    <n v="4"/>
    <n v="693.07"/>
    <s v="530 Main St"/>
    <x v="1"/>
    <x v="0"/>
    <s v="TRK48659380"/>
    <n v="8"/>
    <x v="3"/>
    <s v="SAVE10"/>
    <x v="0"/>
    <n v="2772.28"/>
    <n v="2772.28"/>
  </r>
  <r>
    <s v="ORD201088"/>
    <x v="115"/>
    <s v="C49831"/>
    <x v="6"/>
    <n v="3"/>
    <n v="491.43"/>
    <s v="213 Main St"/>
    <x v="3"/>
    <x v="0"/>
    <s v="TRK21232601"/>
    <n v="6"/>
    <x v="2"/>
    <s v="WINTER15"/>
    <x v="0"/>
    <n v="1474.29"/>
    <n v="1474.29"/>
  </r>
  <r>
    <s v="ORD201089"/>
    <x v="175"/>
    <s v="C13324"/>
    <x v="2"/>
    <n v="2"/>
    <n v="599.74"/>
    <s v="440 Main St"/>
    <x v="3"/>
    <x v="0"/>
    <s v="TRK66967997"/>
    <n v="2"/>
    <x v="5"/>
    <s v="NO-DISCOUNT"/>
    <x v="0"/>
    <n v="1199.48"/>
    <n v="0"/>
  </r>
  <r>
    <s v="ORD201090"/>
    <x v="641"/>
    <s v="C61225"/>
    <x v="0"/>
    <n v="2"/>
    <n v="650.25"/>
    <s v="996 Main St"/>
    <x v="3"/>
    <x v="2"/>
    <s v="TRK37022954"/>
    <n v="6"/>
    <x v="3"/>
    <s v="NO-DISCOUNT"/>
    <x v="0"/>
    <n v="1300.5"/>
    <n v="2601"/>
  </r>
  <r>
    <s v="ORD201091"/>
    <x v="192"/>
    <s v="C16400"/>
    <x v="5"/>
    <n v="3"/>
    <n v="209.48"/>
    <s v="123 Main St"/>
    <x v="0"/>
    <x v="4"/>
    <s v="TRK57771859"/>
    <n v="4"/>
    <x v="1"/>
    <s v="NO-DISCOUNT"/>
    <x v="2"/>
    <n v="628.43999999999994"/>
    <n v="209.48"/>
  </r>
  <r>
    <s v="ORD201092"/>
    <x v="531"/>
    <s v="C38642"/>
    <x v="5"/>
    <n v="5"/>
    <n v="209.2"/>
    <s v="930 Main St"/>
    <x v="0"/>
    <x v="3"/>
    <s v="TRK47744396"/>
    <n v="6"/>
    <x v="1"/>
    <s v="WINTER15"/>
    <x v="2"/>
    <n v="1046"/>
    <n v="209.2"/>
  </r>
  <r>
    <s v="ORD201093"/>
    <x v="308"/>
    <s v="C86773"/>
    <x v="1"/>
    <n v="4"/>
    <n v="197.36"/>
    <s v="557 Main St"/>
    <x v="3"/>
    <x v="2"/>
    <s v="TRK22612240"/>
    <n v="9"/>
    <x v="4"/>
    <s v="FREESHIP"/>
    <x v="0"/>
    <n v="789.44"/>
    <n v="986.80000000000007"/>
  </r>
  <r>
    <s v="ORD201094"/>
    <x v="342"/>
    <s v="C66093"/>
    <x v="4"/>
    <n v="4"/>
    <n v="648.91"/>
    <s v="615 Main St"/>
    <x v="2"/>
    <x v="0"/>
    <s v="TRK54950785"/>
    <n v="6"/>
    <x v="0"/>
    <s v="SAVE10"/>
    <x v="0"/>
    <n v="2595.64"/>
    <n v="1297.82"/>
  </r>
  <r>
    <s v="ORD201095"/>
    <x v="234"/>
    <s v="C33051"/>
    <x v="1"/>
    <n v="2"/>
    <n v="441.54"/>
    <s v="397 Main St"/>
    <x v="1"/>
    <x v="3"/>
    <s v="TRK92929755"/>
    <n v="2"/>
    <x v="5"/>
    <s v="SAVE10"/>
    <x v="2"/>
    <n v="883.08"/>
    <n v="0"/>
  </r>
  <r>
    <s v="ORD201096"/>
    <x v="120"/>
    <s v="C18169"/>
    <x v="2"/>
    <n v="2"/>
    <n v="464.92"/>
    <s v="782 Main St"/>
    <x v="0"/>
    <x v="2"/>
    <s v="TRK49482923"/>
    <n v="2"/>
    <x v="5"/>
    <s v="NO-DISCOUNT"/>
    <x v="3"/>
    <n v="929.84"/>
    <n v="0"/>
  </r>
  <r>
    <s v="ORD201097"/>
    <x v="645"/>
    <s v="C81370"/>
    <x v="0"/>
    <n v="5"/>
    <n v="506.45"/>
    <s v="344 Main St"/>
    <x v="3"/>
    <x v="0"/>
    <s v="TRK99682998"/>
    <n v="7"/>
    <x v="0"/>
    <s v="WINTER15"/>
    <x v="4"/>
    <n v="2532.25"/>
    <n v="1012.9"/>
  </r>
  <r>
    <s v="ORD201098"/>
    <x v="646"/>
    <s v="C91103"/>
    <x v="0"/>
    <n v="4"/>
    <n v="255.86"/>
    <s v="155 Main St"/>
    <x v="2"/>
    <x v="3"/>
    <s v="TRK91653000"/>
    <n v="7"/>
    <x v="2"/>
    <s v="NO-DISCOUNT"/>
    <x v="2"/>
    <n v="1023.44"/>
    <n v="767.58"/>
  </r>
  <r>
    <s v="ORD201099"/>
    <x v="556"/>
    <s v="C21953"/>
    <x v="5"/>
    <n v="2"/>
    <n v="125.23"/>
    <s v="272 Main St"/>
    <x v="4"/>
    <x v="1"/>
    <s v="TRK60774796"/>
    <n v="3"/>
    <x v="1"/>
    <s v="FREESHIP"/>
    <x v="2"/>
    <n v="250.46"/>
    <n v="125.23"/>
  </r>
  <r>
    <s v="ORD201100"/>
    <x v="538"/>
    <s v="C15146"/>
    <x v="5"/>
    <n v="5"/>
    <n v="38.11"/>
    <s v="428 Main St"/>
    <x v="0"/>
    <x v="1"/>
    <s v="TRK79790530"/>
    <n v="6"/>
    <x v="1"/>
    <s v="WINTER15"/>
    <x v="0"/>
    <n v="190.55"/>
    <n v="38.11"/>
  </r>
  <r>
    <s v="ORD201101"/>
    <x v="647"/>
    <s v="C43546"/>
    <x v="0"/>
    <n v="3"/>
    <n v="161.97"/>
    <s v="904 Main St"/>
    <x v="4"/>
    <x v="4"/>
    <s v="TRK85871121"/>
    <n v="4"/>
    <x v="1"/>
    <s v="SAVE10"/>
    <x v="2"/>
    <n v="485.91"/>
    <n v="161.97"/>
  </r>
  <r>
    <s v="ORD201102"/>
    <x v="561"/>
    <s v="C98474"/>
    <x v="3"/>
    <n v="4"/>
    <n v="347.17"/>
    <s v="997 Main St"/>
    <x v="0"/>
    <x v="0"/>
    <s v="TRK86192984"/>
    <n v="8"/>
    <x v="3"/>
    <s v="NO-DISCOUNT"/>
    <x v="0"/>
    <n v="1388.68"/>
    <n v="1388.68"/>
  </r>
  <r>
    <s v="ORD201103"/>
    <x v="648"/>
    <s v="C90292"/>
    <x v="5"/>
    <n v="4"/>
    <n v="276.32"/>
    <s v="129 Main St"/>
    <x v="1"/>
    <x v="3"/>
    <s v="TRK26270357"/>
    <n v="5"/>
    <x v="1"/>
    <s v="NO-DISCOUNT"/>
    <x v="4"/>
    <n v="1105.28"/>
    <n v="276.32"/>
  </r>
  <r>
    <s v="ORD201104"/>
    <x v="568"/>
    <s v="C17075"/>
    <x v="2"/>
    <n v="4"/>
    <n v="314.76"/>
    <s v="850 Main St"/>
    <x v="1"/>
    <x v="0"/>
    <s v="TRK63547510"/>
    <n v="8"/>
    <x v="3"/>
    <s v="NO-DISCOUNT"/>
    <x v="0"/>
    <n v="1259.04"/>
    <n v="1259.04"/>
  </r>
  <r>
    <s v="ORD201105"/>
    <x v="649"/>
    <s v="C12487"/>
    <x v="2"/>
    <n v="3"/>
    <n v="475.69"/>
    <s v="884 Main St"/>
    <x v="3"/>
    <x v="1"/>
    <s v="TRK23324770"/>
    <n v="3"/>
    <x v="5"/>
    <s v="FREESHIP"/>
    <x v="4"/>
    <n v="1427.07"/>
    <n v="0"/>
  </r>
  <r>
    <s v="ORD201106"/>
    <x v="255"/>
    <s v="C34555"/>
    <x v="3"/>
    <n v="1"/>
    <n v="372.8"/>
    <s v="903 Main St"/>
    <x v="4"/>
    <x v="1"/>
    <s v="TRK72859458"/>
    <n v="6"/>
    <x v="4"/>
    <s v="SAVE10"/>
    <x v="3"/>
    <n v="372.8"/>
    <n v="1864"/>
  </r>
  <r>
    <s v="ORD201107"/>
    <x v="233"/>
    <s v="C25110"/>
    <x v="2"/>
    <n v="2"/>
    <n v="63.21"/>
    <s v="282 Main St"/>
    <x v="1"/>
    <x v="1"/>
    <s v="TRK80963328"/>
    <n v="4"/>
    <x v="0"/>
    <s v="SAVE10"/>
    <x v="4"/>
    <n v="126.42"/>
    <n v="126.42"/>
  </r>
  <r>
    <s v="ORD201108"/>
    <x v="650"/>
    <s v="C35136"/>
    <x v="5"/>
    <n v="1"/>
    <n v="634.94000000000005"/>
    <s v="462 Main St"/>
    <x v="1"/>
    <x v="1"/>
    <s v="TRK49753703"/>
    <n v="5"/>
    <x v="3"/>
    <s v="WINTER15"/>
    <x v="0"/>
    <n v="634.94000000000005"/>
    <n v="2539.7600000000002"/>
  </r>
  <r>
    <s v="ORD201109"/>
    <x v="651"/>
    <s v="C62277"/>
    <x v="4"/>
    <n v="4"/>
    <n v="77.47"/>
    <s v="474 Main St"/>
    <x v="3"/>
    <x v="2"/>
    <s v="TRK32026174"/>
    <n v="7"/>
    <x v="2"/>
    <s v="SAVE10"/>
    <x v="0"/>
    <n v="309.88"/>
    <n v="232.41"/>
  </r>
  <r>
    <s v="ORD201110"/>
    <x v="402"/>
    <s v="C12472"/>
    <x v="3"/>
    <n v="3"/>
    <n v="84.31"/>
    <s v="912 Main St"/>
    <x v="2"/>
    <x v="0"/>
    <s v="TRK36103184"/>
    <n v="3"/>
    <x v="5"/>
    <s v="SAVE10"/>
    <x v="2"/>
    <n v="252.93"/>
    <n v="0"/>
  </r>
  <r>
    <s v="ORD201111"/>
    <x v="306"/>
    <s v="C24047"/>
    <x v="0"/>
    <n v="4"/>
    <n v="234.45"/>
    <s v="362 Main St"/>
    <x v="1"/>
    <x v="1"/>
    <s v="TRK91338580"/>
    <n v="9"/>
    <x v="4"/>
    <s v="FREESHIP"/>
    <x v="0"/>
    <n v="937.8"/>
    <n v="1172.25"/>
  </r>
  <r>
    <s v="ORD201112"/>
    <x v="652"/>
    <s v="C76929"/>
    <x v="6"/>
    <n v="1"/>
    <n v="356.81"/>
    <s v="563 Main St"/>
    <x v="1"/>
    <x v="3"/>
    <s v="TRK80694400"/>
    <n v="1"/>
    <x v="5"/>
    <s v="WINTER15"/>
    <x v="0"/>
    <n v="356.81"/>
    <n v="0"/>
  </r>
  <r>
    <s v="ORD201113"/>
    <x v="111"/>
    <s v="C52914"/>
    <x v="6"/>
    <n v="4"/>
    <n v="209.99"/>
    <s v="168 Main St"/>
    <x v="4"/>
    <x v="3"/>
    <s v="TRK80819053"/>
    <n v="8"/>
    <x v="3"/>
    <s v="NO-DISCOUNT"/>
    <x v="4"/>
    <n v="839.96"/>
    <n v="839.96"/>
  </r>
  <r>
    <s v="ORD201114"/>
    <x v="653"/>
    <s v="C55164"/>
    <x v="2"/>
    <n v="3"/>
    <n v="659.88"/>
    <s v="609 Main St"/>
    <x v="3"/>
    <x v="1"/>
    <s v="TRK79610967"/>
    <n v="3"/>
    <x v="5"/>
    <s v="NO-DISCOUNT"/>
    <x v="4"/>
    <n v="1979.64"/>
    <n v="0"/>
  </r>
  <r>
    <s v="ORD201115"/>
    <x v="126"/>
    <s v="C70426"/>
    <x v="5"/>
    <n v="2"/>
    <n v="336.32"/>
    <s v="562 Main St"/>
    <x v="1"/>
    <x v="2"/>
    <s v="TRK89687816"/>
    <n v="3"/>
    <x v="1"/>
    <s v="NO-DISCOUNT"/>
    <x v="4"/>
    <n v="672.64"/>
    <n v="336.32"/>
  </r>
  <r>
    <s v="ORD201116"/>
    <x v="612"/>
    <s v="C69149"/>
    <x v="4"/>
    <n v="2"/>
    <n v="531.49"/>
    <s v="562 Main St"/>
    <x v="2"/>
    <x v="3"/>
    <s v="TRK61265132"/>
    <n v="7"/>
    <x v="4"/>
    <s v="WINTER15"/>
    <x v="3"/>
    <n v="1062.98"/>
    <n v="2657.45"/>
  </r>
  <r>
    <s v="ORD201117"/>
    <x v="199"/>
    <s v="C78684"/>
    <x v="3"/>
    <n v="3"/>
    <n v="588.44000000000005"/>
    <s v="858 Main St"/>
    <x v="3"/>
    <x v="0"/>
    <s v="TRK95779073"/>
    <n v="8"/>
    <x v="4"/>
    <s v="WINTER15"/>
    <x v="4"/>
    <n v="1765.32"/>
    <n v="2942.2000000000003"/>
  </r>
  <r>
    <s v="ORD201118"/>
    <x v="75"/>
    <s v="C58168"/>
    <x v="1"/>
    <n v="3"/>
    <n v="251.48"/>
    <s v="359 Main St"/>
    <x v="2"/>
    <x v="2"/>
    <s v="TRK99102265"/>
    <n v="4"/>
    <x v="1"/>
    <s v="NO-DISCOUNT"/>
    <x v="2"/>
    <n v="754.43999999999994"/>
    <n v="251.48"/>
  </r>
  <r>
    <s v="ORD201119"/>
    <x v="167"/>
    <s v="C99024"/>
    <x v="5"/>
    <n v="1"/>
    <n v="684.65"/>
    <s v="250 Main St"/>
    <x v="2"/>
    <x v="3"/>
    <s v="TRK24675988"/>
    <n v="1"/>
    <x v="5"/>
    <s v="FREESHIP"/>
    <x v="2"/>
    <n v="684.65"/>
    <n v="0"/>
  </r>
  <r>
    <s v="ORD201120"/>
    <x v="400"/>
    <s v="C22919"/>
    <x v="2"/>
    <n v="1"/>
    <n v="195.86"/>
    <s v="267 Main St"/>
    <x v="1"/>
    <x v="4"/>
    <s v="TRK82416295"/>
    <n v="3"/>
    <x v="0"/>
    <s v="NO-DISCOUNT"/>
    <x v="3"/>
    <n v="195.86"/>
    <n v="391.72"/>
  </r>
  <r>
    <s v="ORD201121"/>
    <x v="654"/>
    <s v="C98354"/>
    <x v="1"/>
    <n v="3"/>
    <n v="50.34"/>
    <s v="393 Main St"/>
    <x v="3"/>
    <x v="2"/>
    <s v="TRK43070888"/>
    <n v="3"/>
    <x v="5"/>
    <s v="FREESHIP"/>
    <x v="0"/>
    <n v="151.02000000000001"/>
    <n v="0"/>
  </r>
  <r>
    <s v="ORD201122"/>
    <x v="323"/>
    <s v="C38840"/>
    <x v="0"/>
    <n v="5"/>
    <n v="678.19"/>
    <s v="766 Main St"/>
    <x v="1"/>
    <x v="2"/>
    <s v="TRK32496970"/>
    <n v="8"/>
    <x v="2"/>
    <s v="NO-DISCOUNT"/>
    <x v="3"/>
    <n v="3390.95"/>
    <n v="2034.5700000000002"/>
  </r>
  <r>
    <s v="ORD201123"/>
    <x v="655"/>
    <s v="C68936"/>
    <x v="2"/>
    <n v="3"/>
    <n v="554.25"/>
    <s v="843 Main St"/>
    <x v="0"/>
    <x v="0"/>
    <s v="TRK73163634"/>
    <n v="6"/>
    <x v="2"/>
    <s v="WINTER15"/>
    <x v="1"/>
    <n v="1662.75"/>
    <n v="1662.75"/>
  </r>
  <r>
    <s v="ORD201124"/>
    <x v="221"/>
    <s v="C33744"/>
    <x v="3"/>
    <n v="4"/>
    <n v="576.87"/>
    <s v="888 Main St"/>
    <x v="3"/>
    <x v="2"/>
    <s v="TRK40245983"/>
    <n v="5"/>
    <x v="1"/>
    <s v="NO-DISCOUNT"/>
    <x v="0"/>
    <n v="2307.48"/>
    <n v="576.87"/>
  </r>
  <r>
    <s v="ORD201125"/>
    <x v="504"/>
    <s v="C23555"/>
    <x v="6"/>
    <n v="4"/>
    <n v="408.36"/>
    <s v="156 Main St"/>
    <x v="3"/>
    <x v="1"/>
    <s v="TRK67210247"/>
    <n v="4"/>
    <x v="5"/>
    <s v="FREESHIP"/>
    <x v="1"/>
    <n v="1633.44"/>
    <n v="0"/>
  </r>
  <r>
    <s v="ORD201126"/>
    <x v="319"/>
    <s v="C34337"/>
    <x v="1"/>
    <n v="5"/>
    <n v="190.11"/>
    <s v="325 Main St"/>
    <x v="4"/>
    <x v="3"/>
    <s v="TRK36195559"/>
    <n v="7"/>
    <x v="0"/>
    <s v="SAVE10"/>
    <x v="4"/>
    <n v="950.55000000000007"/>
    <n v="380.22"/>
  </r>
  <r>
    <s v="ORD201127"/>
    <x v="175"/>
    <s v="C69396"/>
    <x v="4"/>
    <n v="3"/>
    <n v="602.75"/>
    <s v="920 Main St"/>
    <x v="2"/>
    <x v="0"/>
    <s v="TRK33155049"/>
    <n v="6"/>
    <x v="2"/>
    <s v="SAVE10"/>
    <x v="2"/>
    <n v="1808.25"/>
    <n v="1808.25"/>
  </r>
  <r>
    <s v="ORD201128"/>
    <x v="538"/>
    <s v="C49198"/>
    <x v="0"/>
    <n v="3"/>
    <n v="646.79"/>
    <s v="447 Main St"/>
    <x v="4"/>
    <x v="1"/>
    <s v="TRK10883354"/>
    <n v="5"/>
    <x v="0"/>
    <s v="WINTER15"/>
    <x v="4"/>
    <n v="1940.37"/>
    <n v="1293.58"/>
  </r>
  <r>
    <s v="ORD201129"/>
    <x v="236"/>
    <s v="C43911"/>
    <x v="3"/>
    <n v="4"/>
    <n v="418.71"/>
    <s v="239 Main St"/>
    <x v="4"/>
    <x v="4"/>
    <s v="TRK37495481"/>
    <n v="8"/>
    <x v="3"/>
    <s v="FREESHIP"/>
    <x v="0"/>
    <n v="1674.84"/>
    <n v="1674.84"/>
  </r>
  <r>
    <s v="ORD201130"/>
    <x v="656"/>
    <s v="C24347"/>
    <x v="5"/>
    <n v="2"/>
    <n v="323.45"/>
    <s v="533 Main St"/>
    <x v="2"/>
    <x v="2"/>
    <s v="TRK27233265"/>
    <n v="5"/>
    <x v="2"/>
    <s v="FREESHIP"/>
    <x v="0"/>
    <n v="646.9"/>
    <n v="970.34999999999991"/>
  </r>
  <r>
    <s v="ORD201131"/>
    <x v="408"/>
    <s v="C21043"/>
    <x v="1"/>
    <n v="1"/>
    <n v="694.5"/>
    <s v="195 Main St"/>
    <x v="2"/>
    <x v="4"/>
    <s v="TRK41691086"/>
    <n v="3"/>
    <x v="0"/>
    <s v="WINTER15"/>
    <x v="3"/>
    <n v="694.5"/>
    <n v="1389"/>
  </r>
  <r>
    <s v="ORD201132"/>
    <x v="657"/>
    <s v="C58858"/>
    <x v="3"/>
    <n v="2"/>
    <n v="337.32"/>
    <s v="948 Main St"/>
    <x v="2"/>
    <x v="1"/>
    <s v="TRK30406357"/>
    <n v="4"/>
    <x v="0"/>
    <s v="SAVE10"/>
    <x v="2"/>
    <n v="674.64"/>
    <n v="674.64"/>
  </r>
  <r>
    <s v="ORD201133"/>
    <x v="398"/>
    <s v="C20670"/>
    <x v="4"/>
    <n v="2"/>
    <n v="467.91"/>
    <s v="432 Main St"/>
    <x v="3"/>
    <x v="2"/>
    <s v="TRK76731303"/>
    <n v="5"/>
    <x v="2"/>
    <s v="WINTER15"/>
    <x v="3"/>
    <n v="935.82"/>
    <n v="1403.73"/>
  </r>
  <r>
    <s v="ORD201134"/>
    <x v="180"/>
    <s v="C90993"/>
    <x v="6"/>
    <n v="4"/>
    <n v="38.28"/>
    <s v="950 Main St"/>
    <x v="0"/>
    <x v="1"/>
    <s v="TRK53964711"/>
    <n v="4"/>
    <x v="5"/>
    <s v="WINTER15"/>
    <x v="3"/>
    <n v="153.12"/>
    <n v="0"/>
  </r>
  <r>
    <s v="ORD201135"/>
    <x v="153"/>
    <s v="C11473"/>
    <x v="4"/>
    <n v="2"/>
    <n v="73.41"/>
    <s v="562 Main St"/>
    <x v="1"/>
    <x v="0"/>
    <s v="TRK97793275"/>
    <n v="2"/>
    <x v="5"/>
    <s v="SAVE10"/>
    <x v="4"/>
    <n v="146.82"/>
    <n v="0"/>
  </r>
  <r>
    <s v="ORD201136"/>
    <x v="463"/>
    <s v="C71899"/>
    <x v="2"/>
    <n v="3"/>
    <n v="668.33"/>
    <s v="799 Main St"/>
    <x v="3"/>
    <x v="4"/>
    <s v="TRK34856025"/>
    <n v="4"/>
    <x v="1"/>
    <s v="WINTER15"/>
    <x v="3"/>
    <n v="2004.99"/>
    <n v="668.33"/>
  </r>
  <r>
    <s v="ORD201137"/>
    <x v="511"/>
    <s v="C48577"/>
    <x v="4"/>
    <n v="4"/>
    <n v="410.21"/>
    <s v="841 Main St"/>
    <x v="4"/>
    <x v="4"/>
    <s v="TRK59911645"/>
    <n v="5"/>
    <x v="1"/>
    <s v="WINTER15"/>
    <x v="0"/>
    <n v="1640.84"/>
    <n v="410.21"/>
  </r>
  <r>
    <s v="ORD201138"/>
    <x v="552"/>
    <s v="C13100"/>
    <x v="6"/>
    <n v="4"/>
    <n v="294.41000000000003"/>
    <s v="188 Main St"/>
    <x v="0"/>
    <x v="4"/>
    <s v="TRK55565668"/>
    <n v="4"/>
    <x v="5"/>
    <s v="NO-DISCOUNT"/>
    <x v="0"/>
    <n v="1177.6400000000001"/>
    <n v="0"/>
  </r>
  <r>
    <s v="ORD201139"/>
    <x v="627"/>
    <s v="C70659"/>
    <x v="3"/>
    <n v="3"/>
    <n v="501.82"/>
    <s v="568 Main St"/>
    <x v="3"/>
    <x v="1"/>
    <s v="TRK28290825"/>
    <n v="4"/>
    <x v="1"/>
    <s v="FREESHIP"/>
    <x v="2"/>
    <n v="1505.46"/>
    <n v="501.82"/>
  </r>
  <r>
    <s v="ORD201140"/>
    <x v="658"/>
    <s v="C49838"/>
    <x v="4"/>
    <n v="2"/>
    <n v="552.83000000000004"/>
    <s v="904 Main St"/>
    <x v="2"/>
    <x v="1"/>
    <s v="TRK38297718"/>
    <n v="3"/>
    <x v="1"/>
    <s v="NO-DISCOUNT"/>
    <x v="1"/>
    <n v="1105.6600000000001"/>
    <n v="552.83000000000004"/>
  </r>
  <r>
    <s v="ORD201141"/>
    <x v="656"/>
    <s v="C11998"/>
    <x v="3"/>
    <n v="3"/>
    <n v="498.66"/>
    <s v="382 Main St"/>
    <x v="4"/>
    <x v="1"/>
    <s v="TRK26707221"/>
    <n v="6"/>
    <x v="2"/>
    <s v="NO-DISCOUNT"/>
    <x v="2"/>
    <n v="1495.98"/>
    <n v="1495.98"/>
  </r>
  <r>
    <s v="ORD201142"/>
    <x v="1"/>
    <s v="C23405"/>
    <x v="1"/>
    <n v="4"/>
    <n v="695.1"/>
    <s v="484 Main St"/>
    <x v="0"/>
    <x v="2"/>
    <s v="TRK83678708"/>
    <n v="8"/>
    <x v="3"/>
    <s v="NO-DISCOUNT"/>
    <x v="2"/>
    <n v="2780.4"/>
    <n v="2780.4"/>
  </r>
  <r>
    <s v="ORD201143"/>
    <x v="659"/>
    <s v="C41132"/>
    <x v="3"/>
    <n v="1"/>
    <n v="381.61"/>
    <s v="114 Main St"/>
    <x v="0"/>
    <x v="4"/>
    <s v="TRK51040137"/>
    <n v="5"/>
    <x v="3"/>
    <s v="NO-DISCOUNT"/>
    <x v="2"/>
    <n v="381.61"/>
    <n v="1526.44"/>
  </r>
  <r>
    <s v="ORD201144"/>
    <x v="223"/>
    <s v="C88463"/>
    <x v="6"/>
    <n v="5"/>
    <n v="507.94"/>
    <s v="292 Main St"/>
    <x v="1"/>
    <x v="1"/>
    <s v="TRK88749996"/>
    <n v="9"/>
    <x v="3"/>
    <s v="NO-DISCOUNT"/>
    <x v="3"/>
    <n v="2539.6999999999998"/>
    <n v="2031.76"/>
  </r>
  <r>
    <s v="ORD201145"/>
    <x v="275"/>
    <s v="C28152"/>
    <x v="6"/>
    <n v="3"/>
    <n v="571.53"/>
    <s v="821 Main St"/>
    <x v="0"/>
    <x v="3"/>
    <s v="TRK59642814"/>
    <n v="6"/>
    <x v="2"/>
    <s v="FREESHIP"/>
    <x v="3"/>
    <n v="1714.59"/>
    <n v="1714.59"/>
  </r>
  <r>
    <s v="ORD201146"/>
    <x v="525"/>
    <s v="C36383"/>
    <x v="0"/>
    <n v="5"/>
    <n v="421.44"/>
    <s v="286 Main St"/>
    <x v="4"/>
    <x v="4"/>
    <s v="TRK93336357"/>
    <n v="5"/>
    <x v="5"/>
    <s v="SAVE10"/>
    <x v="0"/>
    <n v="2107.1999999999998"/>
    <n v="0"/>
  </r>
  <r>
    <s v="ORD201147"/>
    <x v="143"/>
    <s v="C19759"/>
    <x v="3"/>
    <n v="2"/>
    <n v="588.29999999999995"/>
    <s v="234 Main St"/>
    <x v="1"/>
    <x v="4"/>
    <s v="TRK22515454"/>
    <n v="2"/>
    <x v="5"/>
    <s v="FREESHIP"/>
    <x v="2"/>
    <n v="1176.5999999999999"/>
    <n v="0"/>
  </r>
  <r>
    <s v="ORD201148"/>
    <x v="611"/>
    <s v="C54886"/>
    <x v="1"/>
    <n v="1"/>
    <n v="355.15"/>
    <s v="442 Main St"/>
    <x v="4"/>
    <x v="2"/>
    <s v="TRK66241930"/>
    <n v="2"/>
    <x v="1"/>
    <s v="SAVE10"/>
    <x v="2"/>
    <n v="355.15"/>
    <n v="355.15"/>
  </r>
  <r>
    <s v="ORD201149"/>
    <x v="568"/>
    <s v="C27305"/>
    <x v="3"/>
    <n v="2"/>
    <n v="695.29"/>
    <s v="957 Main St"/>
    <x v="2"/>
    <x v="4"/>
    <s v="TRK28789916"/>
    <n v="6"/>
    <x v="3"/>
    <s v="FREESHIP"/>
    <x v="0"/>
    <n v="1390.58"/>
    <n v="2781.16"/>
  </r>
  <r>
    <s v="ORD201150"/>
    <x v="215"/>
    <s v="C17921"/>
    <x v="6"/>
    <n v="4"/>
    <n v="302.64999999999998"/>
    <s v="119 Main St"/>
    <x v="2"/>
    <x v="1"/>
    <s v="TRK79291524"/>
    <n v="8"/>
    <x v="3"/>
    <s v="SAVE10"/>
    <x v="1"/>
    <n v="1210.5999999999999"/>
    <n v="1210.5999999999999"/>
  </r>
  <r>
    <s v="ORD201151"/>
    <x v="22"/>
    <s v="C94381"/>
    <x v="3"/>
    <n v="2"/>
    <n v="608.04"/>
    <s v="962 Main St"/>
    <x v="4"/>
    <x v="1"/>
    <s v="TRK69804304"/>
    <n v="4"/>
    <x v="0"/>
    <s v="NO-DISCOUNT"/>
    <x v="4"/>
    <n v="1216.08"/>
    <n v="1216.08"/>
  </r>
  <r>
    <s v="ORD201152"/>
    <x v="576"/>
    <s v="C25162"/>
    <x v="2"/>
    <n v="2"/>
    <n v="344.18"/>
    <s v="533 Main St"/>
    <x v="2"/>
    <x v="0"/>
    <s v="TRK42183078"/>
    <n v="7"/>
    <x v="4"/>
    <s v="NO-DISCOUNT"/>
    <x v="1"/>
    <n v="688.36"/>
    <n v="1720.9"/>
  </r>
  <r>
    <s v="ORD201153"/>
    <x v="393"/>
    <s v="C98317"/>
    <x v="0"/>
    <n v="4"/>
    <n v="696.71"/>
    <s v="276 Main St"/>
    <x v="0"/>
    <x v="0"/>
    <s v="TRK37172138"/>
    <n v="4"/>
    <x v="5"/>
    <s v="NO-DISCOUNT"/>
    <x v="0"/>
    <n v="2786.84"/>
    <n v="0"/>
  </r>
  <r>
    <s v="ORD201154"/>
    <x v="113"/>
    <s v="C53631"/>
    <x v="0"/>
    <n v="3"/>
    <n v="198.63"/>
    <s v="593 Main St"/>
    <x v="4"/>
    <x v="4"/>
    <s v="TRK67589167"/>
    <n v="8"/>
    <x v="4"/>
    <s v="SAVE10"/>
    <x v="0"/>
    <n v="595.89"/>
    <n v="993.15"/>
  </r>
  <r>
    <s v="ORD201155"/>
    <x v="340"/>
    <s v="C41478"/>
    <x v="4"/>
    <n v="4"/>
    <n v="534.57000000000005"/>
    <s v="667 Main St"/>
    <x v="2"/>
    <x v="3"/>
    <s v="TRK62068126"/>
    <n v="6"/>
    <x v="0"/>
    <s v="FREESHIP"/>
    <x v="3"/>
    <n v="2138.2800000000002"/>
    <n v="1069.1400000000001"/>
  </r>
  <r>
    <s v="ORD201156"/>
    <x v="45"/>
    <s v="C20512"/>
    <x v="5"/>
    <n v="4"/>
    <n v="690.78"/>
    <s v="980 Main St"/>
    <x v="2"/>
    <x v="0"/>
    <s v="TRK98234737"/>
    <n v="9"/>
    <x v="4"/>
    <s v="NO-DISCOUNT"/>
    <x v="1"/>
    <n v="2763.12"/>
    <n v="3453.8999999999996"/>
  </r>
  <r>
    <s v="ORD201157"/>
    <x v="382"/>
    <s v="C25841"/>
    <x v="0"/>
    <n v="3"/>
    <n v="301.55"/>
    <s v="242 Main St"/>
    <x v="0"/>
    <x v="3"/>
    <s v="TRK21451375"/>
    <n v="5"/>
    <x v="0"/>
    <s v="FREESHIP"/>
    <x v="4"/>
    <n v="904.65000000000009"/>
    <n v="603.1"/>
  </r>
  <r>
    <s v="ORD201158"/>
    <x v="197"/>
    <s v="C82781"/>
    <x v="0"/>
    <n v="4"/>
    <n v="27.42"/>
    <s v="661 Main St"/>
    <x v="0"/>
    <x v="4"/>
    <s v="TRK20605418"/>
    <n v="4"/>
    <x v="5"/>
    <s v="SAVE10"/>
    <x v="1"/>
    <n v="109.68"/>
    <n v="0"/>
  </r>
  <r>
    <s v="ORD201159"/>
    <x v="203"/>
    <s v="C66112"/>
    <x v="6"/>
    <n v="4"/>
    <n v="466.7"/>
    <s v="874 Main St"/>
    <x v="0"/>
    <x v="2"/>
    <s v="TRK60955607"/>
    <n v="8"/>
    <x v="3"/>
    <s v="NO-DISCOUNT"/>
    <x v="0"/>
    <n v="1866.8"/>
    <n v="1866.8"/>
  </r>
  <r>
    <s v="ORD201160"/>
    <x v="333"/>
    <s v="C40466"/>
    <x v="6"/>
    <n v="1"/>
    <n v="541.64"/>
    <s v="449 Main St"/>
    <x v="0"/>
    <x v="0"/>
    <s v="TRK70255168"/>
    <n v="5"/>
    <x v="3"/>
    <s v="SAVE10"/>
    <x v="2"/>
    <n v="541.64"/>
    <n v="2166.56"/>
  </r>
  <r>
    <s v="ORD201161"/>
    <x v="504"/>
    <s v="C32570"/>
    <x v="1"/>
    <n v="1"/>
    <n v="11.39"/>
    <s v="826 Main St"/>
    <x v="4"/>
    <x v="1"/>
    <s v="TRK35969968"/>
    <n v="6"/>
    <x v="4"/>
    <s v="WINTER15"/>
    <x v="2"/>
    <n v="11.39"/>
    <n v="56.95"/>
  </r>
  <r>
    <s v="ORD201162"/>
    <x v="660"/>
    <s v="C29405"/>
    <x v="1"/>
    <n v="2"/>
    <n v="224.37"/>
    <s v="251 Main St"/>
    <x v="0"/>
    <x v="3"/>
    <s v="TRK33125798"/>
    <n v="3"/>
    <x v="1"/>
    <s v="WINTER15"/>
    <x v="1"/>
    <n v="448.74"/>
    <n v="224.37"/>
  </r>
  <r>
    <s v="ORD201163"/>
    <x v="184"/>
    <s v="C30643"/>
    <x v="5"/>
    <n v="3"/>
    <n v="306.29000000000002"/>
    <s v="966 Main St"/>
    <x v="2"/>
    <x v="2"/>
    <s v="TRK19477485"/>
    <n v="7"/>
    <x v="3"/>
    <s v="WINTER15"/>
    <x v="0"/>
    <n v="918.87000000000012"/>
    <n v="1225.1600000000001"/>
  </r>
  <r>
    <s v="ORD201164"/>
    <x v="649"/>
    <s v="C65890"/>
    <x v="2"/>
    <n v="5"/>
    <n v="315.57"/>
    <s v="340 Main St"/>
    <x v="0"/>
    <x v="3"/>
    <s v="TRK64530489"/>
    <n v="6"/>
    <x v="1"/>
    <s v="WINTER15"/>
    <x v="2"/>
    <n v="1577.85"/>
    <n v="315.57"/>
  </r>
  <r>
    <s v="ORD201165"/>
    <x v="328"/>
    <s v="C36992"/>
    <x v="3"/>
    <n v="3"/>
    <n v="223.79"/>
    <s v="617 Main St"/>
    <x v="0"/>
    <x v="4"/>
    <s v="TRK63460217"/>
    <n v="3"/>
    <x v="5"/>
    <s v="NO-DISCOUNT"/>
    <x v="4"/>
    <n v="671.37"/>
    <n v="0"/>
  </r>
  <r>
    <s v="ORD201166"/>
    <x v="48"/>
    <s v="C95568"/>
    <x v="3"/>
    <n v="3"/>
    <n v="324.47000000000003"/>
    <s v="971 Main St"/>
    <x v="4"/>
    <x v="3"/>
    <s v="TRK37075292"/>
    <n v="4"/>
    <x v="1"/>
    <s v="WINTER15"/>
    <x v="2"/>
    <n v="973.41000000000008"/>
    <n v="324.47000000000003"/>
  </r>
  <r>
    <s v="ORD201167"/>
    <x v="661"/>
    <s v="C17966"/>
    <x v="4"/>
    <n v="2"/>
    <n v="92.87"/>
    <s v="360 Main St"/>
    <x v="2"/>
    <x v="4"/>
    <s v="TRK31169396"/>
    <n v="5"/>
    <x v="2"/>
    <s v="FREESHIP"/>
    <x v="3"/>
    <n v="185.74"/>
    <n v="278.61"/>
  </r>
  <r>
    <s v="ORD201168"/>
    <x v="505"/>
    <s v="C89559"/>
    <x v="5"/>
    <n v="2"/>
    <n v="331.42"/>
    <s v="297 Main St"/>
    <x v="2"/>
    <x v="3"/>
    <s v="TRK82838108"/>
    <n v="6"/>
    <x v="3"/>
    <s v="WINTER15"/>
    <x v="4"/>
    <n v="662.84"/>
    <n v="1325.68"/>
  </r>
  <r>
    <s v="ORD201169"/>
    <x v="662"/>
    <s v="C15849"/>
    <x v="3"/>
    <n v="1"/>
    <n v="525.42999999999995"/>
    <s v="643 Main St"/>
    <x v="4"/>
    <x v="1"/>
    <s v="TRK26794546"/>
    <n v="2"/>
    <x v="1"/>
    <s v="SAVE10"/>
    <x v="0"/>
    <n v="525.42999999999995"/>
    <n v="525.42999999999995"/>
  </r>
  <r>
    <s v="ORD201170"/>
    <x v="567"/>
    <s v="C94257"/>
    <x v="4"/>
    <n v="2"/>
    <n v="697.19"/>
    <s v="762 Main St"/>
    <x v="4"/>
    <x v="2"/>
    <s v="TRK40220743"/>
    <n v="7"/>
    <x v="4"/>
    <s v="FREESHIP"/>
    <x v="2"/>
    <n v="1394.38"/>
    <n v="3485.9500000000003"/>
  </r>
  <r>
    <s v="ORD201171"/>
    <x v="81"/>
    <s v="C39911"/>
    <x v="1"/>
    <n v="4"/>
    <n v="518.4"/>
    <s v="699 Main St"/>
    <x v="2"/>
    <x v="3"/>
    <s v="TRK80431998"/>
    <n v="7"/>
    <x v="2"/>
    <s v="SAVE10"/>
    <x v="3"/>
    <n v="2073.6"/>
    <n v="1555.1999999999998"/>
  </r>
  <r>
    <s v="ORD201172"/>
    <x v="496"/>
    <s v="C28828"/>
    <x v="6"/>
    <n v="3"/>
    <n v="131.96"/>
    <s v="745 Main St"/>
    <x v="2"/>
    <x v="4"/>
    <s v="TRK32550359"/>
    <n v="8"/>
    <x v="4"/>
    <s v="NO-DISCOUNT"/>
    <x v="0"/>
    <n v="395.88"/>
    <n v="659.80000000000007"/>
  </r>
  <r>
    <s v="ORD201173"/>
    <x v="449"/>
    <s v="C82921"/>
    <x v="0"/>
    <n v="1"/>
    <n v="208.36"/>
    <s v="703 Main St"/>
    <x v="1"/>
    <x v="0"/>
    <s v="TRK31079911"/>
    <n v="4"/>
    <x v="2"/>
    <s v="FREESHIP"/>
    <x v="2"/>
    <n v="208.36"/>
    <n v="625.08000000000004"/>
  </r>
  <r>
    <s v="ORD201174"/>
    <x v="110"/>
    <s v="C50159"/>
    <x v="4"/>
    <n v="3"/>
    <n v="222.34"/>
    <s v="105 Main St"/>
    <x v="2"/>
    <x v="2"/>
    <s v="TRK53737452"/>
    <n v="5"/>
    <x v="0"/>
    <s v="WINTER15"/>
    <x v="2"/>
    <n v="667.02"/>
    <n v="444.68"/>
  </r>
  <r>
    <s v="ORD201175"/>
    <x v="663"/>
    <s v="C62512"/>
    <x v="4"/>
    <n v="3"/>
    <n v="91.74"/>
    <s v="368 Main St"/>
    <x v="0"/>
    <x v="2"/>
    <s v="TRK24139954"/>
    <n v="8"/>
    <x v="4"/>
    <s v="FREESHIP"/>
    <x v="1"/>
    <n v="275.22000000000003"/>
    <n v="458.7"/>
  </r>
  <r>
    <s v="ORD201176"/>
    <x v="340"/>
    <s v="C39260"/>
    <x v="2"/>
    <n v="2"/>
    <n v="213.83"/>
    <s v="374 Main St"/>
    <x v="0"/>
    <x v="1"/>
    <s v="TRK55587314"/>
    <n v="2"/>
    <x v="5"/>
    <s v="WINTER15"/>
    <x v="2"/>
    <n v="427.66"/>
    <n v="0"/>
  </r>
  <r>
    <s v="ORD201177"/>
    <x v="664"/>
    <s v="C23917"/>
    <x v="4"/>
    <n v="1"/>
    <n v="127.55"/>
    <s v="433 Main St"/>
    <x v="4"/>
    <x v="0"/>
    <s v="TRK44434536"/>
    <n v="3"/>
    <x v="0"/>
    <s v="SAVE10"/>
    <x v="1"/>
    <n v="127.55"/>
    <n v="255.1"/>
  </r>
  <r>
    <s v="ORD201178"/>
    <x v="50"/>
    <s v="C65107"/>
    <x v="0"/>
    <n v="1"/>
    <n v="70.239999999999995"/>
    <s v="456 Main St"/>
    <x v="2"/>
    <x v="1"/>
    <s v="TRK10261578"/>
    <n v="4"/>
    <x v="2"/>
    <s v="FREESHIP"/>
    <x v="4"/>
    <n v="70.239999999999995"/>
    <n v="210.71999999999997"/>
  </r>
  <r>
    <s v="ORD201179"/>
    <x v="124"/>
    <s v="C84630"/>
    <x v="5"/>
    <n v="5"/>
    <n v="518.54999999999995"/>
    <s v="907 Main St"/>
    <x v="2"/>
    <x v="1"/>
    <s v="TRK48054997"/>
    <n v="6"/>
    <x v="1"/>
    <s v="WINTER15"/>
    <x v="0"/>
    <n v="2592.75"/>
    <n v="518.54999999999995"/>
  </r>
  <r>
    <s v="ORD201180"/>
    <x v="150"/>
    <s v="C42235"/>
    <x v="3"/>
    <n v="4"/>
    <n v="298.36"/>
    <s v="722 Main St"/>
    <x v="0"/>
    <x v="4"/>
    <s v="TRK49379882"/>
    <n v="8"/>
    <x v="3"/>
    <s v="FREESHIP"/>
    <x v="4"/>
    <n v="1193.44"/>
    <n v="1193.44"/>
  </r>
  <r>
    <s v="ORD201181"/>
    <x v="152"/>
    <s v="C70246"/>
    <x v="6"/>
    <n v="3"/>
    <n v="158.74"/>
    <s v="293 Main St"/>
    <x v="1"/>
    <x v="4"/>
    <s v="TRK45708320"/>
    <n v="7"/>
    <x v="3"/>
    <s v="FREESHIP"/>
    <x v="0"/>
    <n v="476.22"/>
    <n v="634.96"/>
  </r>
  <r>
    <s v="ORD201182"/>
    <x v="554"/>
    <s v="C18473"/>
    <x v="3"/>
    <n v="2"/>
    <n v="420.29"/>
    <s v="700 Main St"/>
    <x v="3"/>
    <x v="2"/>
    <s v="TRK97834202"/>
    <n v="3"/>
    <x v="1"/>
    <s v="SAVE10"/>
    <x v="4"/>
    <n v="840.58"/>
    <n v="420.29"/>
  </r>
  <r>
    <s v="ORD201183"/>
    <x v="228"/>
    <s v="C12607"/>
    <x v="6"/>
    <n v="1"/>
    <n v="281.52"/>
    <s v="460 Main St"/>
    <x v="3"/>
    <x v="0"/>
    <s v="TRK83653396"/>
    <n v="6"/>
    <x v="4"/>
    <s v="WINTER15"/>
    <x v="1"/>
    <n v="281.52"/>
    <n v="1407.6"/>
  </r>
  <r>
    <s v="ORD201184"/>
    <x v="610"/>
    <s v="C10222"/>
    <x v="5"/>
    <n v="1"/>
    <n v="204.08"/>
    <s v="979 Main St"/>
    <x v="3"/>
    <x v="2"/>
    <s v="TRK86297895"/>
    <n v="4"/>
    <x v="2"/>
    <s v="NO-DISCOUNT"/>
    <x v="4"/>
    <n v="204.08"/>
    <n v="612.24"/>
  </r>
  <r>
    <s v="ORD201185"/>
    <x v="665"/>
    <s v="C77344"/>
    <x v="3"/>
    <n v="1"/>
    <n v="343.31"/>
    <s v="777 Main St"/>
    <x v="3"/>
    <x v="2"/>
    <s v="TRK20605055"/>
    <n v="6"/>
    <x v="4"/>
    <s v="SAVE10"/>
    <x v="4"/>
    <n v="343.31"/>
    <n v="1716.55"/>
  </r>
  <r>
    <s v="ORD201186"/>
    <x v="134"/>
    <s v="C65497"/>
    <x v="0"/>
    <n v="1"/>
    <n v="163.32"/>
    <s v="676 Main St"/>
    <x v="4"/>
    <x v="0"/>
    <s v="TRK83702761"/>
    <n v="6"/>
    <x v="4"/>
    <s v="WINTER15"/>
    <x v="3"/>
    <n v="163.32"/>
    <n v="816.59999999999991"/>
  </r>
  <r>
    <s v="ORD201187"/>
    <x v="206"/>
    <s v="C26340"/>
    <x v="6"/>
    <n v="2"/>
    <n v="184.6"/>
    <s v="562 Main St"/>
    <x v="3"/>
    <x v="3"/>
    <s v="TRK59962703"/>
    <n v="7"/>
    <x v="4"/>
    <s v="WINTER15"/>
    <x v="2"/>
    <n v="369.2"/>
    <n v="923"/>
  </r>
  <r>
    <s v="ORD201188"/>
    <x v="47"/>
    <s v="C75619"/>
    <x v="4"/>
    <n v="2"/>
    <n v="371.29"/>
    <s v="924 Main St"/>
    <x v="3"/>
    <x v="0"/>
    <s v="TRK23086941"/>
    <n v="5"/>
    <x v="2"/>
    <s v="WINTER15"/>
    <x v="3"/>
    <n v="742.58"/>
    <n v="1113.8700000000001"/>
  </r>
  <r>
    <s v="ORD201189"/>
    <x v="666"/>
    <s v="C96136"/>
    <x v="2"/>
    <n v="5"/>
    <n v="389.22"/>
    <s v="149 Main St"/>
    <x v="4"/>
    <x v="1"/>
    <s v="TRK60856682"/>
    <n v="7"/>
    <x v="0"/>
    <s v="NO-DISCOUNT"/>
    <x v="1"/>
    <n v="1946.1"/>
    <n v="778.44"/>
  </r>
  <r>
    <s v="ORD201190"/>
    <x v="647"/>
    <s v="C46886"/>
    <x v="6"/>
    <n v="3"/>
    <n v="616.39"/>
    <s v="754 Main St"/>
    <x v="2"/>
    <x v="0"/>
    <s v="TRK82791646"/>
    <n v="6"/>
    <x v="2"/>
    <s v="FREESHIP"/>
    <x v="0"/>
    <n v="1849.17"/>
    <n v="1849.17"/>
  </r>
  <r>
    <s v="ORD201191"/>
    <x v="441"/>
    <s v="C44148"/>
    <x v="6"/>
    <n v="4"/>
    <n v="376.43"/>
    <s v="809 Main St"/>
    <x v="3"/>
    <x v="4"/>
    <s v="TRK67872709"/>
    <n v="5"/>
    <x v="1"/>
    <s v="WINTER15"/>
    <x v="0"/>
    <n v="1505.72"/>
    <n v="376.43"/>
  </r>
  <r>
    <s v="ORD201192"/>
    <x v="329"/>
    <s v="C72007"/>
    <x v="3"/>
    <n v="3"/>
    <n v="432.85"/>
    <s v="999 Main St"/>
    <x v="1"/>
    <x v="4"/>
    <s v="TRK16240916"/>
    <n v="4"/>
    <x v="1"/>
    <s v="NO-DISCOUNT"/>
    <x v="0"/>
    <n v="1298.55"/>
    <n v="432.85"/>
  </r>
  <r>
    <s v="ORD201193"/>
    <x v="667"/>
    <s v="C45104"/>
    <x v="2"/>
    <n v="1"/>
    <n v="687.89"/>
    <s v="348 Main St"/>
    <x v="4"/>
    <x v="2"/>
    <s v="TRK38559816"/>
    <n v="1"/>
    <x v="5"/>
    <s v="FREESHIP"/>
    <x v="2"/>
    <n v="687.89"/>
    <n v="0"/>
  </r>
  <r>
    <s v="ORD201194"/>
    <x v="614"/>
    <s v="C29885"/>
    <x v="4"/>
    <n v="3"/>
    <n v="189.44"/>
    <s v="725 Main St"/>
    <x v="4"/>
    <x v="4"/>
    <s v="TRK62067865"/>
    <n v="4"/>
    <x v="1"/>
    <s v="FREESHIP"/>
    <x v="2"/>
    <n v="568.31999999999994"/>
    <n v="189.44"/>
  </r>
  <r>
    <s v="ORD201195"/>
    <x v="643"/>
    <s v="C21126"/>
    <x v="6"/>
    <n v="1"/>
    <n v="107.04"/>
    <s v="392 Main St"/>
    <x v="2"/>
    <x v="1"/>
    <s v="TRK38009181"/>
    <n v="6"/>
    <x v="4"/>
    <s v="FREESHIP"/>
    <x v="4"/>
    <n v="107.04"/>
    <n v="535.20000000000005"/>
  </r>
  <r>
    <s v="ORD201196"/>
    <x v="668"/>
    <s v="C20095"/>
    <x v="0"/>
    <n v="2"/>
    <n v="662.53"/>
    <s v="778 Main St"/>
    <x v="1"/>
    <x v="1"/>
    <s v="TRK69207593"/>
    <n v="5"/>
    <x v="2"/>
    <s v="NO-DISCOUNT"/>
    <x v="3"/>
    <n v="1325.06"/>
    <n v="1987.59"/>
  </r>
  <r>
    <s v="ORD201197"/>
    <x v="669"/>
    <s v="C79674"/>
    <x v="2"/>
    <n v="2"/>
    <n v="436.84"/>
    <s v="275 Main St"/>
    <x v="1"/>
    <x v="3"/>
    <s v="TRK88039356"/>
    <n v="2"/>
    <x v="5"/>
    <s v="FREESHIP"/>
    <x v="0"/>
    <n v="873.68"/>
    <n v="0"/>
  </r>
  <r>
    <s v="ORD201198"/>
    <x v="670"/>
    <s v="C64753"/>
    <x v="3"/>
    <n v="4"/>
    <n v="262.52"/>
    <s v="509 Main St"/>
    <x v="0"/>
    <x v="1"/>
    <s v="TRK71683331"/>
    <n v="4"/>
    <x v="5"/>
    <s v="WINTER15"/>
    <x v="0"/>
    <n v="1050.08"/>
    <n v="0"/>
  </r>
  <r>
    <s v="ORD201199"/>
    <x v="236"/>
    <s v="C57502"/>
    <x v="2"/>
    <n v="4"/>
    <n v="560.58000000000004"/>
    <s v="201 Main St"/>
    <x v="3"/>
    <x v="2"/>
    <s v="TRK51116746"/>
    <n v="6"/>
    <x v="0"/>
    <s v="SAVE10"/>
    <x v="1"/>
    <n v="2242.3200000000002"/>
    <n v="1121.1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5126B-52E5-4388-87B7-E480E2F90FC6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15:V23" firstHeaderRow="1" firstDataRow="2" firstDataCol="1"/>
  <pivotFields count="18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7"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/>
    <pivotField showAll="0"/>
    <pivotField numFmtId="167" showAll="0"/>
    <pivotField dataField="1" numFmtId="167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LostRevenue" fld="15" baseField="3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94BBC-8DD3-477C-955B-DDAD7D842C5E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>
  <location ref="A16:B22" firstHeaderRow="1" firstDataRow="1" firstDataCol="1"/>
  <pivotFields count="18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7" showAll="0"/>
    <pivotField numFmtId="167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Price" fld="14" subtotal="count" showDataAs="percentOfTotal" baseField="13" baseItem="0" numFmtId="1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D0957-1949-4AA4-BDAD-309AA8A711A6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2:T9" firstHeaderRow="1" firstDataRow="2" firstDataCol="1"/>
  <pivotFields count="18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7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axis="axisCol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7" showAll="0"/>
    <pivotField numFmtId="167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42ACC-1418-464B-865E-B558813182A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:D9" firstHeaderRow="0" firstDataRow="1" firstDataCol="1"/>
  <pivotFields count="18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7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UnitPrice" fld="5" subtotal="min" baseField="3" baseItem="0"/>
    <dataField name="Max of UnitPrice" fld="5" subtotal="max" baseField="3" baseItem="0"/>
    <dataField name="Avg of UnitPrice" fld="5" subtotal="average" baseField="3" baseItem="0"/>
  </dataFields>
  <formats count="1">
    <format dxfId="4">
      <pivotArea collapsedLevelsAreSubtotals="1" fieldPosition="0">
        <references count="1">
          <reference field="3" count="1">
            <x v="0"/>
          </reference>
        </references>
      </pivotArea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843BB-28ED-4CC8-8E66-5CBF52E96204}" name="DecodeLabs" displayName="DecodeLabs" ref="A1:P1201" totalsRowShown="0" headerRowDxfId="12" headerRowBorderDxfId="11" tableBorderDxfId="10">
  <autoFilter ref="A1:P1201" xr:uid="{991843BB-28ED-4CC8-8E66-5CBF52E96204}">
    <filterColumn colId="14">
      <customFilters>
        <customFilter operator="greaterThan" val="3330.41"/>
      </customFilters>
    </filterColumn>
  </autoFilter>
  <tableColumns count="16">
    <tableColumn id="1" xr3:uid="{54E21F4F-3545-4ED0-B819-BC6873C4B865}" name="OrderID"/>
    <tableColumn id="2" xr3:uid="{E93620CF-0E96-40FF-A84F-C4238DDBA302}" name="Date" dataDxfId="9"/>
    <tableColumn id="3" xr3:uid="{33E0805A-E03F-4E6E-B64D-842814C0899B}" name="CustomerID"/>
    <tableColumn id="4" xr3:uid="{E2781BFD-3812-4C81-9A46-E3980E0DD02D}" name="Product"/>
    <tableColumn id="5" xr3:uid="{ECE2DA88-7AAC-4A76-AF7A-22CB4B7A9ED9}" name="Quantity"/>
    <tableColumn id="6" xr3:uid="{7C64C182-C407-48C2-837F-D3DC974DCCFB}" name="UnitPrice" dataDxfId="8"/>
    <tableColumn id="7" xr3:uid="{99F4935C-613F-4BC2-A53C-0C2964367076}" name="ShippingAddress"/>
    <tableColumn id="8" xr3:uid="{5CACDD2E-34E8-4C9C-8D45-76369B836E74}" name="PaymentMethod"/>
    <tableColumn id="9" xr3:uid="{ABF476BF-FC7F-4721-9971-A06972322624}" name="OrderStatus"/>
    <tableColumn id="10" xr3:uid="{5594964B-BB8A-4811-A0C7-15098DD236B3}" name="TrackingNumber"/>
    <tableColumn id="11" xr3:uid="{151DBACA-87F7-413D-ACBF-AC04F6977C1B}" name="ItemsInCart"/>
    <tableColumn id="12" xr3:uid="{DBF83959-2387-40B8-82CF-D0D938A16373}" name="Abandoned Cart" dataDxfId="7">
      <calculatedColumnFormula>K2-E2</calculatedColumnFormula>
    </tableColumn>
    <tableColumn id="13" xr3:uid="{96D7D6FC-68EE-4CCF-8BD4-17FCF2EC80B8}" name="CouponCode"/>
    <tableColumn id="14" xr3:uid="{D184C7E1-7373-4500-8ECD-DF672CE665FC}" name="ReferralSource"/>
    <tableColumn id="15" xr3:uid="{81F95F07-4E26-493B-A85E-0CDB83B5C5EF}" name="TotalPrice" dataDxfId="6" dataCellStyle="Currency"/>
    <tableColumn id="16" xr3:uid="{492A830F-C514-40EB-A542-33938795A1C6}" name="LostRevenue" dataDxfId="5">
      <calculatedColumnFormula>DecodeLabs[[#This Row],[Abandoned Cart]]*DecodeLabs[[#This Row],[UnitPrice]]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5E5511-118D-45CA-B5FF-5B4D48C9EC04}" name="Table2" displayName="Table2" ref="A1205:C1212" headerRowCount="0" totalsRowShown="0">
  <tableColumns count="3">
    <tableColumn id="1" xr3:uid="{B479A1A1-0428-48D8-9E86-1ECFD463F327}" name="Column1" headerRowDxfId="0" dataDxfId="3"/>
    <tableColumn id="2" xr3:uid="{C4A12E70-D366-40D3-95E1-D69E34B07489}" name="Column2" headerRowDxfId="1" dataDxfId="2"/>
    <tableColumn id="3" xr3:uid="{5CCED6F2-301A-4E2A-AA55-D376E1AD507C}" name="Column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BC54-49F2-4A60-B5D2-D16799A81167}">
  <dimension ref="A1:N1201"/>
  <sheetViews>
    <sheetView workbookViewId="0">
      <selection activeCell="E17" sqref="E1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440.19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789.57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397.44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912.45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612.80999999999995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97.86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666.95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802.35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547.44000000000005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628.44000000000005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568.32000000000005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0212-C445-41ED-B4A9-F4F38488FB2E}">
  <dimension ref="A1:P1212"/>
  <sheetViews>
    <sheetView tabSelected="1" workbookViewId="0">
      <selection activeCell="L1" sqref="L1"/>
    </sheetView>
  </sheetViews>
  <sheetFormatPr defaultRowHeight="15" x14ac:dyDescent="0.25"/>
  <cols>
    <col min="1" max="2" width="11" customWidth="1"/>
    <col min="3" max="3" width="11.42578125" bestFit="1" customWidth="1"/>
    <col min="4" max="4" width="9.28515625" customWidth="1"/>
    <col min="5" max="5" width="8.7109375" bestFit="1" customWidth="1"/>
    <col min="6" max="6" width="10.42578125" style="9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5.85546875" customWidth="1"/>
    <col min="13" max="13" width="12.42578125" bestFit="1" customWidth="1"/>
    <col min="14" max="14" width="14.28515625" bestFit="1" customWidth="1"/>
    <col min="15" max="15" width="11" style="9" bestFit="1" customWidth="1"/>
    <col min="16" max="16" width="11.8554687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4284</v>
      </c>
      <c r="M1" s="2" t="s">
        <v>11</v>
      </c>
      <c r="N1" s="2" t="s">
        <v>12</v>
      </c>
      <c r="O1" s="10" t="s">
        <v>13</v>
      </c>
      <c r="P1" s="2" t="s">
        <v>4300</v>
      </c>
    </row>
    <row r="2" spans="1:16" hidden="1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9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>
        <f t="shared" ref="L2:L65" si="0">K2-E2</f>
        <v>2</v>
      </c>
      <c r="M2" t="s">
        <v>4275</v>
      </c>
      <c r="N2" t="s">
        <v>4278</v>
      </c>
      <c r="O2" s="11">
        <v>2853.1</v>
      </c>
      <c r="P2" s="9">
        <f>DecodeLabs[[#This Row],[Abandoned Cart]]*DecodeLabs[[#This Row],[UnitPrice]]</f>
        <v>1141.24</v>
      </c>
    </row>
    <row r="3" spans="1:16" hidden="1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9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>
        <f t="shared" si="0"/>
        <v>1</v>
      </c>
      <c r="M3" t="s">
        <v>4275</v>
      </c>
      <c r="N3" t="s">
        <v>4279</v>
      </c>
      <c r="O3" s="11">
        <v>302.7</v>
      </c>
      <c r="P3" s="9">
        <f>DecodeLabs[[#This Row],[Abandoned Cart]]*DecodeLabs[[#This Row],[UnitPrice]]</f>
        <v>151.35</v>
      </c>
    </row>
    <row r="4" spans="1:16" hidden="1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9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>
        <f t="shared" si="0"/>
        <v>3</v>
      </c>
      <c r="M4" t="s">
        <v>4276</v>
      </c>
      <c r="N4" t="s">
        <v>4280</v>
      </c>
      <c r="O4" s="11">
        <v>2753.4</v>
      </c>
      <c r="P4" s="9">
        <f>DecodeLabs[[#This Row],[Abandoned Cart]]*DecodeLabs[[#This Row],[UnitPrice]]</f>
        <v>1652.04</v>
      </c>
    </row>
    <row r="5" spans="1:16" hidden="1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9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>
        <f t="shared" si="0"/>
        <v>4</v>
      </c>
      <c r="M5" t="s">
        <v>4275</v>
      </c>
      <c r="N5" t="s">
        <v>4281</v>
      </c>
      <c r="O5" s="11">
        <v>273.19</v>
      </c>
      <c r="P5" s="9">
        <f>DecodeLabs[[#This Row],[Abandoned Cart]]*DecodeLabs[[#This Row],[UnitPrice]]</f>
        <v>1092.76</v>
      </c>
    </row>
    <row r="6" spans="1:16" hidden="1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9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>
        <f t="shared" si="0"/>
        <v>4</v>
      </c>
      <c r="M6" t="s">
        <v>4275</v>
      </c>
      <c r="N6" t="s">
        <v>4280</v>
      </c>
      <c r="O6" s="11">
        <v>2504.04</v>
      </c>
      <c r="P6" s="9">
        <f>DecodeLabs[[#This Row],[Abandoned Cart]]*DecodeLabs[[#This Row],[UnitPrice]]</f>
        <v>2504.04</v>
      </c>
    </row>
    <row r="7" spans="1:16" hidden="1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9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>
        <f t="shared" si="0"/>
        <v>2</v>
      </c>
      <c r="M7" t="s">
        <v>4275</v>
      </c>
      <c r="N7" t="s">
        <v>4278</v>
      </c>
      <c r="O7" s="11">
        <v>491.72</v>
      </c>
      <c r="P7" s="9">
        <f>DecodeLabs[[#This Row],[Abandoned Cart]]*DecodeLabs[[#This Row],[UnitPrice]]</f>
        <v>491.72</v>
      </c>
    </row>
    <row r="8" spans="1:16" hidden="1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9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>
        <f t="shared" si="0"/>
        <v>5</v>
      </c>
      <c r="M8" t="s">
        <v>4275</v>
      </c>
      <c r="N8" t="s">
        <v>4281</v>
      </c>
      <c r="O8" s="11">
        <v>664.42</v>
      </c>
      <c r="P8" s="9">
        <f>DecodeLabs[[#This Row],[Abandoned Cart]]*DecodeLabs[[#This Row],[UnitPrice]]</f>
        <v>3322.1</v>
      </c>
    </row>
    <row r="9" spans="1:16" hidden="1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>
        <f t="shared" si="0"/>
        <v>4</v>
      </c>
      <c r="M9" t="s">
        <v>4276</v>
      </c>
      <c r="N9" t="s">
        <v>4281</v>
      </c>
      <c r="O9" s="11">
        <v>747.75</v>
      </c>
      <c r="P9" s="9">
        <f>DecodeLabs[[#This Row],[Abandoned Cart]]*DecodeLabs[[#This Row],[UnitPrice]]</f>
        <v>598.20000000000005</v>
      </c>
    </row>
    <row r="10" spans="1:16" hidden="1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9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>
        <f t="shared" si="0"/>
        <v>0</v>
      </c>
      <c r="M10" t="s">
        <v>4283</v>
      </c>
      <c r="N10" t="s">
        <v>4280</v>
      </c>
      <c r="O10" s="11">
        <v>268.56</v>
      </c>
      <c r="P10" s="9">
        <f>DecodeLabs[[#This Row],[Abandoned Cart]]*DecodeLabs[[#This Row],[UnitPrice]]</f>
        <v>0</v>
      </c>
    </row>
    <row r="11" spans="1:16" hidden="1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9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>
        <f t="shared" si="0"/>
        <v>2</v>
      </c>
      <c r="M11" t="s">
        <v>4275</v>
      </c>
      <c r="N11" t="s">
        <v>4282</v>
      </c>
      <c r="O11" s="11">
        <v>2037.52</v>
      </c>
      <c r="P11" s="9">
        <f>DecodeLabs[[#This Row],[Abandoned Cart]]*DecodeLabs[[#This Row],[UnitPrice]]</f>
        <v>1018.76</v>
      </c>
    </row>
    <row r="12" spans="1:16" hidden="1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9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>
        <f t="shared" si="0"/>
        <v>4</v>
      </c>
      <c r="M12" t="s">
        <v>4277</v>
      </c>
      <c r="N12" t="s">
        <v>4278</v>
      </c>
      <c r="O12" s="11">
        <v>3129.85</v>
      </c>
      <c r="P12" s="9">
        <f>DecodeLabs[[#This Row],[Abandoned Cart]]*DecodeLabs[[#This Row],[UnitPrice]]</f>
        <v>2503.88</v>
      </c>
    </row>
    <row r="13" spans="1:16" hidden="1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9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>
        <f t="shared" si="0"/>
        <v>4</v>
      </c>
      <c r="M13" t="s">
        <v>4275</v>
      </c>
      <c r="N13" t="s">
        <v>4280</v>
      </c>
      <c r="O13" s="11">
        <v>147.41999999999999</v>
      </c>
      <c r="P13" s="9">
        <f>DecodeLabs[[#This Row],[Abandoned Cart]]*DecodeLabs[[#This Row],[UnitPrice]]</f>
        <v>196.56</v>
      </c>
    </row>
    <row r="14" spans="1:16" hidden="1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9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>
        <f t="shared" si="0"/>
        <v>4</v>
      </c>
      <c r="M14" t="s">
        <v>4276</v>
      </c>
      <c r="N14" t="s">
        <v>4279</v>
      </c>
      <c r="O14" s="11">
        <v>361</v>
      </c>
      <c r="P14" s="9">
        <f>DecodeLabs[[#This Row],[Abandoned Cart]]*DecodeLabs[[#This Row],[UnitPrice]]</f>
        <v>722</v>
      </c>
    </row>
    <row r="15" spans="1:16" hidden="1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9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>
        <f t="shared" si="0"/>
        <v>1</v>
      </c>
      <c r="M15" t="s">
        <v>4276</v>
      </c>
      <c r="N15" t="s">
        <v>4281</v>
      </c>
      <c r="O15" s="11">
        <v>604.47</v>
      </c>
      <c r="P15" s="9">
        <f>DecodeLabs[[#This Row],[Abandoned Cart]]*DecodeLabs[[#This Row],[UnitPrice]]</f>
        <v>201.49</v>
      </c>
    </row>
    <row r="16" spans="1:16" hidden="1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9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>
        <f t="shared" si="0"/>
        <v>1</v>
      </c>
      <c r="M16" t="s">
        <v>4275</v>
      </c>
      <c r="N16" t="s">
        <v>4278</v>
      </c>
      <c r="O16" s="11">
        <v>786.66</v>
      </c>
      <c r="P16" s="9">
        <f>DecodeLabs[[#This Row],[Abandoned Cart]]*DecodeLabs[[#This Row],[UnitPrice]]</f>
        <v>393.33</v>
      </c>
    </row>
    <row r="17" spans="1:16" hidden="1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9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>
        <f t="shared" si="0"/>
        <v>2</v>
      </c>
      <c r="M17" t="s">
        <v>4283</v>
      </c>
      <c r="N17" t="s">
        <v>4282</v>
      </c>
      <c r="O17" s="11">
        <v>473.96</v>
      </c>
      <c r="P17" s="9">
        <f>DecodeLabs[[#This Row],[Abandoned Cart]]*DecodeLabs[[#This Row],[UnitPrice]]</f>
        <v>947.92</v>
      </c>
    </row>
    <row r="18" spans="1:16" hidden="1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9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>
        <f t="shared" si="0"/>
        <v>1</v>
      </c>
      <c r="M18" t="s">
        <v>4276</v>
      </c>
      <c r="N18" t="s">
        <v>4280</v>
      </c>
      <c r="O18" s="11">
        <v>1067.6199999999999</v>
      </c>
      <c r="P18" s="9">
        <f>DecodeLabs[[#This Row],[Abandoned Cart]]*DecodeLabs[[#This Row],[UnitPrice]]</f>
        <v>533.80999999999995</v>
      </c>
    </row>
    <row r="19" spans="1:16" hidden="1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>
        <f t="shared" si="0"/>
        <v>2</v>
      </c>
      <c r="M19" t="s">
        <v>4283</v>
      </c>
      <c r="N19" t="s">
        <v>4279</v>
      </c>
      <c r="O19" s="11">
        <v>423.4</v>
      </c>
      <c r="P19" s="9">
        <f>DecodeLabs[[#This Row],[Abandoned Cart]]*DecodeLabs[[#This Row],[UnitPrice]]</f>
        <v>846.8</v>
      </c>
    </row>
    <row r="20" spans="1:16" hidden="1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9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>
        <f t="shared" si="0"/>
        <v>2</v>
      </c>
      <c r="M20" t="s">
        <v>4275</v>
      </c>
      <c r="N20" t="s">
        <v>4281</v>
      </c>
      <c r="O20" s="11">
        <v>431.44</v>
      </c>
      <c r="P20" s="9">
        <f>DecodeLabs[[#This Row],[Abandoned Cart]]*DecodeLabs[[#This Row],[UnitPrice]]</f>
        <v>862.88</v>
      </c>
    </row>
    <row r="21" spans="1:16" hidden="1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9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>
        <f t="shared" si="0"/>
        <v>4</v>
      </c>
      <c r="M21" t="s">
        <v>4275</v>
      </c>
      <c r="N21" t="s">
        <v>4282</v>
      </c>
      <c r="O21" s="11">
        <v>1120</v>
      </c>
      <c r="P21" s="9">
        <f>DecodeLabs[[#This Row],[Abandoned Cart]]*DecodeLabs[[#This Row],[UnitPrice]]</f>
        <v>896</v>
      </c>
    </row>
    <row r="22" spans="1:16" hidden="1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9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>
        <f t="shared" si="0"/>
        <v>4</v>
      </c>
      <c r="M22" t="s">
        <v>4277</v>
      </c>
      <c r="N22" t="s">
        <v>4278</v>
      </c>
      <c r="O22" s="11">
        <v>312.55</v>
      </c>
      <c r="P22" s="9">
        <f>DecodeLabs[[#This Row],[Abandoned Cart]]*DecodeLabs[[#This Row],[UnitPrice]]</f>
        <v>250.04</v>
      </c>
    </row>
    <row r="23" spans="1:16" hidden="1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9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>
        <f t="shared" si="0"/>
        <v>2</v>
      </c>
      <c r="M23" t="s">
        <v>4283</v>
      </c>
      <c r="N23" t="s">
        <v>4282</v>
      </c>
      <c r="O23" s="11">
        <v>1371.8</v>
      </c>
      <c r="P23" s="9">
        <f>DecodeLabs[[#This Row],[Abandoned Cart]]*DecodeLabs[[#This Row],[UnitPrice]]</f>
        <v>685.9</v>
      </c>
    </row>
    <row r="24" spans="1:16" hidden="1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9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>
        <f t="shared" si="0"/>
        <v>0</v>
      </c>
      <c r="M24" t="s">
        <v>4275</v>
      </c>
      <c r="N24" t="s">
        <v>4282</v>
      </c>
      <c r="O24" s="11">
        <v>99.24</v>
      </c>
      <c r="P24" s="9">
        <f>DecodeLabs[[#This Row],[Abandoned Cart]]*DecodeLabs[[#This Row],[UnitPrice]]</f>
        <v>0</v>
      </c>
    </row>
    <row r="25" spans="1:16" hidden="1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9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>
        <f t="shared" si="0"/>
        <v>1</v>
      </c>
      <c r="M25" t="s">
        <v>4276</v>
      </c>
      <c r="N25" t="s">
        <v>4279</v>
      </c>
      <c r="O25" s="11">
        <v>1093</v>
      </c>
      <c r="P25" s="9">
        <f>DecodeLabs[[#This Row],[Abandoned Cart]]*DecodeLabs[[#This Row],[UnitPrice]]</f>
        <v>273.25</v>
      </c>
    </row>
    <row r="26" spans="1:16" hidden="1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9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>
        <f t="shared" si="0"/>
        <v>1</v>
      </c>
      <c r="M26" t="s">
        <v>4277</v>
      </c>
      <c r="N26" t="s">
        <v>4279</v>
      </c>
      <c r="O26" s="11">
        <v>461.9</v>
      </c>
      <c r="P26" s="9">
        <f>DecodeLabs[[#This Row],[Abandoned Cart]]*DecodeLabs[[#This Row],[UnitPrice]]</f>
        <v>230.95</v>
      </c>
    </row>
    <row r="27" spans="1:16" hidden="1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9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>
        <f t="shared" si="0"/>
        <v>2</v>
      </c>
      <c r="M27" t="s">
        <v>4277</v>
      </c>
      <c r="N27" t="s">
        <v>4280</v>
      </c>
      <c r="O27" s="11">
        <v>399.98</v>
      </c>
      <c r="P27" s="9">
        <f>DecodeLabs[[#This Row],[Abandoned Cart]]*DecodeLabs[[#This Row],[UnitPrice]]</f>
        <v>799.96</v>
      </c>
    </row>
    <row r="28" spans="1:16" hidden="1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9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>
        <f t="shared" si="0"/>
        <v>1</v>
      </c>
      <c r="M28" t="s">
        <v>4283</v>
      </c>
      <c r="N28" t="s">
        <v>4279</v>
      </c>
      <c r="O28" s="11">
        <v>297.75</v>
      </c>
      <c r="P28" s="9">
        <f>DecodeLabs[[#This Row],[Abandoned Cart]]*DecodeLabs[[#This Row],[UnitPrice]]</f>
        <v>59.55</v>
      </c>
    </row>
    <row r="29" spans="1:16" hidden="1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>
        <f t="shared" si="0"/>
        <v>5</v>
      </c>
      <c r="M29" t="s">
        <v>4277</v>
      </c>
      <c r="N29" t="s">
        <v>4282</v>
      </c>
      <c r="O29" s="11">
        <v>472.74</v>
      </c>
      <c r="P29" s="9">
        <f>DecodeLabs[[#This Row],[Abandoned Cart]]*DecodeLabs[[#This Row],[UnitPrice]]</f>
        <v>2363.6999999999998</v>
      </c>
    </row>
    <row r="30" spans="1:16" hidden="1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9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>
        <f t="shared" si="0"/>
        <v>1</v>
      </c>
      <c r="M30" t="s">
        <v>4283</v>
      </c>
      <c r="N30" t="s">
        <v>4280</v>
      </c>
      <c r="O30" s="11">
        <v>640.28</v>
      </c>
      <c r="P30" s="9">
        <f>DecodeLabs[[#This Row],[Abandoned Cart]]*DecodeLabs[[#This Row],[UnitPrice]]</f>
        <v>160.07</v>
      </c>
    </row>
    <row r="31" spans="1:16" hidden="1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9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>
        <f t="shared" si="0"/>
        <v>3</v>
      </c>
      <c r="M31" t="s">
        <v>4275</v>
      </c>
      <c r="N31" t="s">
        <v>4279</v>
      </c>
      <c r="O31" s="11">
        <v>1270.5899999999999</v>
      </c>
      <c r="P31" s="9">
        <f>DecodeLabs[[#This Row],[Abandoned Cart]]*DecodeLabs[[#This Row],[UnitPrice]]</f>
        <v>1270.5899999999999</v>
      </c>
    </row>
    <row r="32" spans="1:16" hidden="1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9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>
        <f t="shared" si="0"/>
        <v>3</v>
      </c>
      <c r="M32" t="s">
        <v>4275</v>
      </c>
      <c r="N32" t="s">
        <v>4279</v>
      </c>
      <c r="O32" s="11">
        <v>853.4</v>
      </c>
      <c r="P32" s="9">
        <f>DecodeLabs[[#This Row],[Abandoned Cart]]*DecodeLabs[[#This Row],[UnitPrice]]</f>
        <v>1280.0999999999999</v>
      </c>
    </row>
    <row r="33" spans="1:16" hidden="1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9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>
        <f t="shared" si="0"/>
        <v>3</v>
      </c>
      <c r="M33" t="s">
        <v>4283</v>
      </c>
      <c r="N33" t="s">
        <v>4281</v>
      </c>
      <c r="O33" s="11">
        <v>1500.24</v>
      </c>
      <c r="P33" s="9">
        <f>DecodeLabs[[#This Row],[Abandoned Cart]]*DecodeLabs[[#This Row],[UnitPrice]]</f>
        <v>1500.24</v>
      </c>
    </row>
    <row r="34" spans="1:16" hidden="1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9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>
        <f t="shared" si="0"/>
        <v>5</v>
      </c>
      <c r="M34" t="s">
        <v>4283</v>
      </c>
      <c r="N34" t="s">
        <v>4280</v>
      </c>
      <c r="O34" s="11">
        <v>2683.6</v>
      </c>
      <c r="P34" s="9">
        <f>DecodeLabs[[#This Row],[Abandoned Cart]]*DecodeLabs[[#This Row],[UnitPrice]]</f>
        <v>2683.6000000000004</v>
      </c>
    </row>
    <row r="35" spans="1:16" hidden="1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9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>
        <f t="shared" si="0"/>
        <v>3</v>
      </c>
      <c r="M35" t="s">
        <v>4277</v>
      </c>
      <c r="N35" t="s">
        <v>4281</v>
      </c>
      <c r="O35" s="11">
        <v>162.77000000000001</v>
      </c>
      <c r="P35" s="9">
        <f>DecodeLabs[[#This Row],[Abandoned Cart]]*DecodeLabs[[#This Row],[UnitPrice]]</f>
        <v>488.31000000000006</v>
      </c>
    </row>
    <row r="36" spans="1:16" hidden="1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9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>
        <f t="shared" si="0"/>
        <v>1</v>
      </c>
      <c r="M36" t="s">
        <v>4277</v>
      </c>
      <c r="N36" t="s">
        <v>4281</v>
      </c>
      <c r="O36" s="11">
        <v>2306.08</v>
      </c>
      <c r="P36" s="9">
        <f>DecodeLabs[[#This Row],[Abandoned Cart]]*DecodeLabs[[#This Row],[UnitPrice]]</f>
        <v>576.52</v>
      </c>
    </row>
    <row r="37" spans="1:16" hidden="1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9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>
        <f t="shared" si="0"/>
        <v>0</v>
      </c>
      <c r="M37" t="s">
        <v>4275</v>
      </c>
      <c r="N37" t="s">
        <v>4281</v>
      </c>
      <c r="O37" s="11">
        <v>930.3</v>
      </c>
      <c r="P37" s="9">
        <f>DecodeLabs[[#This Row],[Abandoned Cart]]*DecodeLabs[[#This Row],[UnitPrice]]</f>
        <v>0</v>
      </c>
    </row>
    <row r="38" spans="1:16" hidden="1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9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>
        <f t="shared" si="0"/>
        <v>3</v>
      </c>
      <c r="M38" t="s">
        <v>4283</v>
      </c>
      <c r="N38" t="s">
        <v>4281</v>
      </c>
      <c r="O38" s="11">
        <v>1068.8599999999999</v>
      </c>
      <c r="P38" s="9">
        <f>DecodeLabs[[#This Row],[Abandoned Cart]]*DecodeLabs[[#This Row],[UnitPrice]]</f>
        <v>1603.29</v>
      </c>
    </row>
    <row r="39" spans="1:16" hidden="1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>
        <f t="shared" si="0"/>
        <v>5</v>
      </c>
      <c r="M39" t="s">
        <v>4275</v>
      </c>
      <c r="N39" t="s">
        <v>4278</v>
      </c>
      <c r="O39" s="11">
        <v>153.47999999999999</v>
      </c>
      <c r="P39" s="9">
        <f>DecodeLabs[[#This Row],[Abandoned Cart]]*DecodeLabs[[#This Row],[UnitPrice]]</f>
        <v>383.7</v>
      </c>
    </row>
    <row r="40" spans="1:16" hidden="1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9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>
        <f t="shared" si="0"/>
        <v>2</v>
      </c>
      <c r="M40" t="s">
        <v>4275</v>
      </c>
      <c r="N40" t="s">
        <v>4282</v>
      </c>
      <c r="O40" s="11">
        <v>245.89</v>
      </c>
      <c r="P40" s="9">
        <f>DecodeLabs[[#This Row],[Abandoned Cart]]*DecodeLabs[[#This Row],[UnitPrice]]</f>
        <v>491.78</v>
      </c>
    </row>
    <row r="41" spans="1:16" hidden="1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9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>
        <f t="shared" si="0"/>
        <v>1</v>
      </c>
      <c r="M41" t="s">
        <v>4275</v>
      </c>
      <c r="N41" t="s">
        <v>4279</v>
      </c>
      <c r="O41" s="11">
        <v>769.37999999999988</v>
      </c>
      <c r="P41" s="9">
        <f>DecodeLabs[[#This Row],[Abandoned Cart]]*DecodeLabs[[#This Row],[UnitPrice]]</f>
        <v>256.45999999999998</v>
      </c>
    </row>
    <row r="42" spans="1:16" hidden="1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9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>
        <f t="shared" si="0"/>
        <v>2</v>
      </c>
      <c r="M42" t="s">
        <v>4276</v>
      </c>
      <c r="N42" t="s">
        <v>4278</v>
      </c>
      <c r="O42" s="11">
        <v>688.04</v>
      </c>
      <c r="P42" s="9">
        <f>DecodeLabs[[#This Row],[Abandoned Cart]]*DecodeLabs[[#This Row],[UnitPrice]]</f>
        <v>688.04</v>
      </c>
    </row>
    <row r="43" spans="1:16" hidden="1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9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>
        <f t="shared" si="0"/>
        <v>1</v>
      </c>
      <c r="M43" t="s">
        <v>4276</v>
      </c>
      <c r="N43" t="s">
        <v>4278</v>
      </c>
      <c r="O43" s="11">
        <v>1834.35</v>
      </c>
      <c r="P43" s="9">
        <f>DecodeLabs[[#This Row],[Abandoned Cart]]*DecodeLabs[[#This Row],[UnitPrice]]</f>
        <v>611.45000000000005</v>
      </c>
    </row>
    <row r="44" spans="1:16" hidden="1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9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>
        <f t="shared" si="0"/>
        <v>4</v>
      </c>
      <c r="M44" t="s">
        <v>4283</v>
      </c>
      <c r="N44" t="s">
        <v>4278</v>
      </c>
      <c r="O44" s="11">
        <v>303.32</v>
      </c>
      <c r="P44" s="9">
        <f>DecodeLabs[[#This Row],[Abandoned Cart]]*DecodeLabs[[#This Row],[UnitPrice]]</f>
        <v>606.64</v>
      </c>
    </row>
    <row r="45" spans="1:16" hidden="1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9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>
        <f t="shared" si="0"/>
        <v>5</v>
      </c>
      <c r="M45" t="s">
        <v>4283</v>
      </c>
      <c r="N45" t="s">
        <v>4278</v>
      </c>
      <c r="O45" s="11">
        <v>1497.63</v>
      </c>
      <c r="P45" s="9">
        <f>DecodeLabs[[#This Row],[Abandoned Cart]]*DecodeLabs[[#This Row],[UnitPrice]]</f>
        <v>2496.0499999999997</v>
      </c>
    </row>
    <row r="46" spans="1:16" hidden="1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9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>
        <f t="shared" si="0"/>
        <v>1</v>
      </c>
      <c r="M46" t="s">
        <v>4276</v>
      </c>
      <c r="N46" t="s">
        <v>4279</v>
      </c>
      <c r="O46" s="11">
        <v>1100.3599999999999</v>
      </c>
      <c r="P46" s="9">
        <f>DecodeLabs[[#This Row],[Abandoned Cart]]*DecodeLabs[[#This Row],[UnitPrice]]</f>
        <v>550.17999999999995</v>
      </c>
    </row>
    <row r="47" spans="1:16" hidden="1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9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>
        <f t="shared" si="0"/>
        <v>0</v>
      </c>
      <c r="M47" t="s">
        <v>4275</v>
      </c>
      <c r="N47" t="s">
        <v>4281</v>
      </c>
      <c r="O47" s="11">
        <v>317.25</v>
      </c>
      <c r="P47" s="9">
        <f>DecodeLabs[[#This Row],[Abandoned Cart]]*DecodeLabs[[#This Row],[UnitPrice]]</f>
        <v>0</v>
      </c>
    </row>
    <row r="48" spans="1:16" hidden="1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9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>
        <f t="shared" si="0"/>
        <v>0</v>
      </c>
      <c r="M48" t="s">
        <v>4276</v>
      </c>
      <c r="N48" t="s">
        <v>4278</v>
      </c>
      <c r="O48" s="11">
        <v>2200.56</v>
      </c>
      <c r="P48" s="9">
        <f>DecodeLabs[[#This Row],[Abandoned Cart]]*DecodeLabs[[#This Row],[UnitPrice]]</f>
        <v>0</v>
      </c>
    </row>
    <row r="49" spans="1:16" hidden="1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>
        <f t="shared" si="0"/>
        <v>1</v>
      </c>
      <c r="M49" t="s">
        <v>4276</v>
      </c>
      <c r="N49" t="s">
        <v>4280</v>
      </c>
      <c r="O49" s="11">
        <v>419.88</v>
      </c>
      <c r="P49" s="9">
        <f>DecodeLabs[[#This Row],[Abandoned Cart]]*DecodeLabs[[#This Row],[UnitPrice]]</f>
        <v>209.94</v>
      </c>
    </row>
    <row r="50" spans="1:16" hidden="1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9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>
        <f t="shared" si="0"/>
        <v>2</v>
      </c>
      <c r="M50" t="s">
        <v>4283</v>
      </c>
      <c r="N50" t="s">
        <v>4282</v>
      </c>
      <c r="O50" s="11">
        <v>161.54</v>
      </c>
      <c r="P50" s="9">
        <f>DecodeLabs[[#This Row],[Abandoned Cart]]*DecodeLabs[[#This Row],[UnitPrice]]</f>
        <v>161.54</v>
      </c>
    </row>
    <row r="51" spans="1:16" hidden="1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9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>
        <f t="shared" si="0"/>
        <v>0</v>
      </c>
      <c r="M51" t="s">
        <v>4275</v>
      </c>
      <c r="N51" t="s">
        <v>4280</v>
      </c>
      <c r="O51" s="11">
        <v>30.44</v>
      </c>
      <c r="P51" s="9">
        <f>DecodeLabs[[#This Row],[Abandoned Cart]]*DecodeLabs[[#This Row],[UnitPrice]]</f>
        <v>0</v>
      </c>
    </row>
    <row r="52" spans="1:16" hidden="1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9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>
        <f t="shared" si="0"/>
        <v>5</v>
      </c>
      <c r="M52" t="s">
        <v>4276</v>
      </c>
      <c r="N52" t="s">
        <v>4278</v>
      </c>
      <c r="O52" s="11">
        <v>179.22</v>
      </c>
      <c r="P52" s="9">
        <f>DecodeLabs[[#This Row],[Abandoned Cart]]*DecodeLabs[[#This Row],[UnitPrice]]</f>
        <v>896.1</v>
      </c>
    </row>
    <row r="53" spans="1:16" hidden="1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9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>
        <f t="shared" si="0"/>
        <v>1</v>
      </c>
      <c r="M53" t="s">
        <v>4275</v>
      </c>
      <c r="N53" t="s">
        <v>4281</v>
      </c>
      <c r="O53" s="11">
        <v>388.33</v>
      </c>
      <c r="P53" s="9">
        <f>DecodeLabs[[#This Row],[Abandoned Cart]]*DecodeLabs[[#This Row],[UnitPrice]]</f>
        <v>388.33</v>
      </c>
    </row>
    <row r="54" spans="1:16" hidden="1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9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>
        <f t="shared" si="0"/>
        <v>4</v>
      </c>
      <c r="M54" t="s">
        <v>4275</v>
      </c>
      <c r="N54" t="s">
        <v>4281</v>
      </c>
      <c r="O54" s="11">
        <v>586.44000000000005</v>
      </c>
      <c r="P54" s="9">
        <f>DecodeLabs[[#This Row],[Abandoned Cart]]*DecodeLabs[[#This Row],[UnitPrice]]</f>
        <v>2345.7600000000002</v>
      </c>
    </row>
    <row r="55" spans="1:16" hidden="1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9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>
        <f t="shared" si="0"/>
        <v>1</v>
      </c>
      <c r="M55" t="s">
        <v>4276</v>
      </c>
      <c r="N55" t="s">
        <v>4282</v>
      </c>
      <c r="O55" s="11">
        <v>1955.12</v>
      </c>
      <c r="P55" s="9">
        <f>DecodeLabs[[#This Row],[Abandoned Cart]]*DecodeLabs[[#This Row],[UnitPrice]]</f>
        <v>488.78</v>
      </c>
    </row>
    <row r="56" spans="1:16" hidden="1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9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>
        <f t="shared" si="0"/>
        <v>4</v>
      </c>
      <c r="M56" t="s">
        <v>4277</v>
      </c>
      <c r="N56" t="s">
        <v>4280</v>
      </c>
      <c r="O56" s="11">
        <v>280.25</v>
      </c>
      <c r="P56" s="9">
        <f>DecodeLabs[[#This Row],[Abandoned Cart]]*DecodeLabs[[#This Row],[UnitPrice]]</f>
        <v>1121</v>
      </c>
    </row>
    <row r="57" spans="1:16" hidden="1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9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>
        <f t="shared" si="0"/>
        <v>0</v>
      </c>
      <c r="M57" t="s">
        <v>4283</v>
      </c>
      <c r="N57" t="s">
        <v>4281</v>
      </c>
      <c r="O57" s="11">
        <v>1033.2</v>
      </c>
      <c r="P57" s="9">
        <f>DecodeLabs[[#This Row],[Abandoned Cart]]*DecodeLabs[[#This Row],[UnitPrice]]</f>
        <v>0</v>
      </c>
    </row>
    <row r="58" spans="1:16" hidden="1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9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>
        <f t="shared" si="0"/>
        <v>2</v>
      </c>
      <c r="M58" t="s">
        <v>4277</v>
      </c>
      <c r="N58" t="s">
        <v>4279</v>
      </c>
      <c r="O58" s="11">
        <v>1437.63</v>
      </c>
      <c r="P58" s="9">
        <f>DecodeLabs[[#This Row],[Abandoned Cart]]*DecodeLabs[[#This Row],[UnitPrice]]</f>
        <v>958.42</v>
      </c>
    </row>
    <row r="59" spans="1:16" hidden="1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>
        <f t="shared" si="0"/>
        <v>1</v>
      </c>
      <c r="M59" t="s">
        <v>4275</v>
      </c>
      <c r="N59" t="s">
        <v>4278</v>
      </c>
      <c r="O59" s="11">
        <v>1571.35</v>
      </c>
      <c r="P59" s="9">
        <f>DecodeLabs[[#This Row],[Abandoned Cart]]*DecodeLabs[[#This Row],[UnitPrice]]</f>
        <v>314.27</v>
      </c>
    </row>
    <row r="60" spans="1:16" hidden="1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9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>
        <f t="shared" si="0"/>
        <v>2</v>
      </c>
      <c r="M60" t="s">
        <v>4275</v>
      </c>
      <c r="N60" t="s">
        <v>4282</v>
      </c>
      <c r="O60" s="11">
        <v>1898.76</v>
      </c>
      <c r="P60" s="9">
        <f>DecodeLabs[[#This Row],[Abandoned Cart]]*DecodeLabs[[#This Row],[UnitPrice]]</f>
        <v>949.38</v>
      </c>
    </row>
    <row r="61" spans="1:16" hidden="1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9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>
        <f t="shared" si="0"/>
        <v>1</v>
      </c>
      <c r="M61" t="s">
        <v>4283</v>
      </c>
      <c r="N61" t="s">
        <v>4281</v>
      </c>
      <c r="O61" s="11">
        <v>2373.08</v>
      </c>
      <c r="P61" s="9">
        <f>DecodeLabs[[#This Row],[Abandoned Cart]]*DecodeLabs[[#This Row],[UnitPrice]]</f>
        <v>593.27</v>
      </c>
    </row>
    <row r="62" spans="1:16" hidden="1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9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>
        <f t="shared" si="0"/>
        <v>2</v>
      </c>
      <c r="M62" t="s">
        <v>4276</v>
      </c>
      <c r="N62" t="s">
        <v>4279</v>
      </c>
      <c r="O62" s="11">
        <v>417.1</v>
      </c>
      <c r="P62" s="9">
        <f>DecodeLabs[[#This Row],[Abandoned Cart]]*DecodeLabs[[#This Row],[UnitPrice]]</f>
        <v>834.2</v>
      </c>
    </row>
    <row r="63" spans="1:16" hidden="1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9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>
        <f t="shared" si="0"/>
        <v>3</v>
      </c>
      <c r="M63" t="s">
        <v>4276</v>
      </c>
      <c r="N63" t="s">
        <v>4281</v>
      </c>
      <c r="O63" s="11">
        <v>488.8</v>
      </c>
      <c r="P63" s="9">
        <f>DecodeLabs[[#This Row],[Abandoned Cart]]*DecodeLabs[[#This Row],[UnitPrice]]</f>
        <v>366.6</v>
      </c>
    </row>
    <row r="64" spans="1:16" hidden="1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9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>
        <f t="shared" si="0"/>
        <v>1</v>
      </c>
      <c r="M64" t="s">
        <v>4277</v>
      </c>
      <c r="N64" t="s">
        <v>4280</v>
      </c>
      <c r="O64" s="11">
        <v>86.3</v>
      </c>
      <c r="P64" s="9">
        <f>DecodeLabs[[#This Row],[Abandoned Cart]]*DecodeLabs[[#This Row],[UnitPrice]]</f>
        <v>43.15</v>
      </c>
    </row>
    <row r="65" spans="1:16" hidden="1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9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>
        <f t="shared" si="0"/>
        <v>5</v>
      </c>
      <c r="M65" t="s">
        <v>4277</v>
      </c>
      <c r="N65" t="s">
        <v>4279</v>
      </c>
      <c r="O65" s="11">
        <v>564.86</v>
      </c>
      <c r="P65" s="9">
        <f>DecodeLabs[[#This Row],[Abandoned Cart]]*DecodeLabs[[#This Row],[UnitPrice]]</f>
        <v>2824.3</v>
      </c>
    </row>
    <row r="66" spans="1:16" hidden="1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9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>
        <f t="shared" ref="L66:L129" si="1">K66-E66</f>
        <v>1</v>
      </c>
      <c r="M66" t="s">
        <v>4276</v>
      </c>
      <c r="N66" t="s">
        <v>4281</v>
      </c>
      <c r="O66" s="11">
        <v>391.83</v>
      </c>
      <c r="P66" s="9">
        <f>DecodeLabs[[#This Row],[Abandoned Cart]]*DecodeLabs[[#This Row],[UnitPrice]]</f>
        <v>130.61000000000001</v>
      </c>
    </row>
    <row r="67" spans="1:16" hidden="1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9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>
        <f t="shared" si="1"/>
        <v>1</v>
      </c>
      <c r="M67" t="s">
        <v>4283</v>
      </c>
      <c r="N67" t="s">
        <v>4278</v>
      </c>
      <c r="O67" s="11">
        <v>408.5</v>
      </c>
      <c r="P67" s="9">
        <f>DecodeLabs[[#This Row],[Abandoned Cart]]*DecodeLabs[[#This Row],[UnitPrice]]</f>
        <v>81.7</v>
      </c>
    </row>
    <row r="68" spans="1:16" hidden="1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9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>
        <f t="shared" si="1"/>
        <v>4</v>
      </c>
      <c r="M68" t="s">
        <v>4275</v>
      </c>
      <c r="N68" t="s">
        <v>4279</v>
      </c>
      <c r="O68" s="11">
        <v>635.90000000000009</v>
      </c>
      <c r="P68" s="9">
        <f>DecodeLabs[[#This Row],[Abandoned Cart]]*DecodeLabs[[#This Row],[UnitPrice]]</f>
        <v>508.72</v>
      </c>
    </row>
    <row r="69" spans="1:16" hidden="1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>
        <f t="shared" si="1"/>
        <v>4</v>
      </c>
      <c r="M69" t="s">
        <v>4283</v>
      </c>
      <c r="N69" t="s">
        <v>4282</v>
      </c>
      <c r="O69" s="11">
        <v>48.4</v>
      </c>
      <c r="P69" s="9">
        <f>DecodeLabs[[#This Row],[Abandoned Cart]]*DecodeLabs[[#This Row],[UnitPrice]]</f>
        <v>48.4</v>
      </c>
    </row>
    <row r="70" spans="1:16" hidden="1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9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>
        <f t="shared" si="1"/>
        <v>2</v>
      </c>
      <c r="M70" t="s">
        <v>4276</v>
      </c>
      <c r="N70" t="s">
        <v>4280</v>
      </c>
      <c r="O70" s="11">
        <v>1472.76</v>
      </c>
      <c r="P70" s="9">
        <f>DecodeLabs[[#This Row],[Abandoned Cart]]*DecodeLabs[[#This Row],[UnitPrice]]</f>
        <v>981.84</v>
      </c>
    </row>
    <row r="71" spans="1:16" hidden="1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9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>
        <f t="shared" si="1"/>
        <v>1</v>
      </c>
      <c r="M71" t="s">
        <v>4283</v>
      </c>
      <c r="N71" t="s">
        <v>4279</v>
      </c>
      <c r="O71" s="11">
        <v>1435.95</v>
      </c>
      <c r="P71" s="9">
        <f>DecodeLabs[[#This Row],[Abandoned Cart]]*DecodeLabs[[#This Row],[UnitPrice]]</f>
        <v>478.65</v>
      </c>
    </row>
    <row r="72" spans="1:16" hidden="1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9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>
        <f t="shared" si="1"/>
        <v>1</v>
      </c>
      <c r="M72" t="s">
        <v>4276</v>
      </c>
      <c r="N72" t="s">
        <v>4278</v>
      </c>
      <c r="O72" s="11">
        <v>629.21</v>
      </c>
      <c r="P72" s="9">
        <f>DecodeLabs[[#This Row],[Abandoned Cart]]*DecodeLabs[[#This Row],[UnitPrice]]</f>
        <v>629.21</v>
      </c>
    </row>
    <row r="73" spans="1:16" hidden="1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9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>
        <f t="shared" si="1"/>
        <v>1</v>
      </c>
      <c r="M73" t="s">
        <v>4283</v>
      </c>
      <c r="N73" t="s">
        <v>4279</v>
      </c>
      <c r="O73" s="11">
        <v>1303.3499999999999</v>
      </c>
      <c r="P73" s="9">
        <f>DecodeLabs[[#This Row],[Abandoned Cart]]*DecodeLabs[[#This Row],[UnitPrice]]</f>
        <v>434.45</v>
      </c>
    </row>
    <row r="74" spans="1:16" hidden="1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9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>
        <f t="shared" si="1"/>
        <v>1</v>
      </c>
      <c r="M74" t="s">
        <v>4283</v>
      </c>
      <c r="N74" t="s">
        <v>4281</v>
      </c>
      <c r="O74" s="11">
        <v>2357.7600000000002</v>
      </c>
      <c r="P74" s="9">
        <f>DecodeLabs[[#This Row],[Abandoned Cart]]*DecodeLabs[[#This Row],[UnitPrice]]</f>
        <v>589.44000000000005</v>
      </c>
    </row>
    <row r="75" spans="1:16" hidden="1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9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>
        <f t="shared" si="1"/>
        <v>0</v>
      </c>
      <c r="M75" t="s">
        <v>4283</v>
      </c>
      <c r="N75" t="s">
        <v>4281</v>
      </c>
      <c r="O75" s="11">
        <v>1733.8</v>
      </c>
      <c r="P75" s="9">
        <f>DecodeLabs[[#This Row],[Abandoned Cart]]*DecodeLabs[[#This Row],[UnitPrice]]</f>
        <v>0</v>
      </c>
    </row>
    <row r="76" spans="1:16" hidden="1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9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>
        <f t="shared" si="1"/>
        <v>0</v>
      </c>
      <c r="M76" t="s">
        <v>4283</v>
      </c>
      <c r="N76" t="s">
        <v>4278</v>
      </c>
      <c r="O76" s="11">
        <v>454.35</v>
      </c>
      <c r="P76" s="9">
        <f>DecodeLabs[[#This Row],[Abandoned Cart]]*DecodeLabs[[#This Row],[UnitPrice]]</f>
        <v>0</v>
      </c>
    </row>
    <row r="77" spans="1:16" hidden="1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9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>
        <f t="shared" si="1"/>
        <v>2</v>
      </c>
      <c r="M77" t="s">
        <v>4275</v>
      </c>
      <c r="N77" t="s">
        <v>4280</v>
      </c>
      <c r="O77" s="11">
        <v>1194.51</v>
      </c>
      <c r="P77" s="9">
        <f>DecodeLabs[[#This Row],[Abandoned Cart]]*DecodeLabs[[#This Row],[UnitPrice]]</f>
        <v>796.34</v>
      </c>
    </row>
    <row r="78" spans="1:16" hidden="1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9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>
        <f t="shared" si="1"/>
        <v>2</v>
      </c>
      <c r="M78" t="s">
        <v>4277</v>
      </c>
      <c r="N78" t="s">
        <v>4280</v>
      </c>
      <c r="O78" s="11">
        <v>1531.52</v>
      </c>
      <c r="P78" s="9">
        <f>DecodeLabs[[#This Row],[Abandoned Cart]]*DecodeLabs[[#This Row],[UnitPrice]]</f>
        <v>765.76</v>
      </c>
    </row>
    <row r="79" spans="1:16" hidden="1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>
        <f t="shared" si="1"/>
        <v>4</v>
      </c>
      <c r="M79" t="s">
        <v>4283</v>
      </c>
      <c r="N79" t="s">
        <v>4282</v>
      </c>
      <c r="O79" s="11">
        <v>583.17999999999995</v>
      </c>
      <c r="P79" s="9">
        <f>DecodeLabs[[#This Row],[Abandoned Cart]]*DecodeLabs[[#This Row],[UnitPrice]]</f>
        <v>2332.7199999999998</v>
      </c>
    </row>
    <row r="80" spans="1:16" hidden="1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9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>
        <f t="shared" si="1"/>
        <v>0</v>
      </c>
      <c r="M80" t="s">
        <v>4276</v>
      </c>
      <c r="N80" t="s">
        <v>4278</v>
      </c>
      <c r="O80" s="11">
        <v>701.44</v>
      </c>
      <c r="P80" s="9">
        <f>DecodeLabs[[#This Row],[Abandoned Cart]]*DecodeLabs[[#This Row],[UnitPrice]]</f>
        <v>0</v>
      </c>
    </row>
    <row r="81" spans="1:16" hidden="1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9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>
        <f t="shared" si="1"/>
        <v>0</v>
      </c>
      <c r="M81" t="s">
        <v>4283</v>
      </c>
      <c r="N81" t="s">
        <v>4281</v>
      </c>
      <c r="O81" s="11">
        <v>623.82000000000005</v>
      </c>
      <c r="P81" s="9">
        <f>DecodeLabs[[#This Row],[Abandoned Cart]]*DecodeLabs[[#This Row],[UnitPrice]]</f>
        <v>0</v>
      </c>
    </row>
    <row r="82" spans="1:16" hidden="1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9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>
        <f t="shared" si="1"/>
        <v>3</v>
      </c>
      <c r="M82" t="s">
        <v>4283</v>
      </c>
      <c r="N82" t="s">
        <v>4281</v>
      </c>
      <c r="O82" s="11">
        <v>1768.68</v>
      </c>
      <c r="P82" s="9">
        <f>DecodeLabs[[#This Row],[Abandoned Cart]]*DecodeLabs[[#This Row],[UnitPrice]]</f>
        <v>1768.6799999999998</v>
      </c>
    </row>
    <row r="83" spans="1:16" hidden="1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9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>
        <f t="shared" si="1"/>
        <v>4</v>
      </c>
      <c r="M83" t="s">
        <v>4276</v>
      </c>
      <c r="N83" t="s">
        <v>4280</v>
      </c>
      <c r="O83" s="11">
        <v>788.6</v>
      </c>
      <c r="P83" s="9">
        <f>DecodeLabs[[#This Row],[Abandoned Cart]]*DecodeLabs[[#This Row],[UnitPrice]]</f>
        <v>1577.2</v>
      </c>
    </row>
    <row r="84" spans="1:16" hidden="1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9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>
        <f t="shared" si="1"/>
        <v>5</v>
      </c>
      <c r="M84" t="s">
        <v>4275</v>
      </c>
      <c r="N84" t="s">
        <v>4282</v>
      </c>
      <c r="O84" s="11">
        <v>2260.8000000000002</v>
      </c>
      <c r="P84" s="9">
        <f>DecodeLabs[[#This Row],[Abandoned Cart]]*DecodeLabs[[#This Row],[UnitPrice]]</f>
        <v>2826</v>
      </c>
    </row>
    <row r="85" spans="1:16" hidden="1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9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>
        <f t="shared" si="1"/>
        <v>2</v>
      </c>
      <c r="M85" t="s">
        <v>4283</v>
      </c>
      <c r="N85" t="s">
        <v>4279</v>
      </c>
      <c r="O85" s="11">
        <v>2161.64</v>
      </c>
      <c r="P85" s="9">
        <f>DecodeLabs[[#This Row],[Abandoned Cart]]*DecodeLabs[[#This Row],[UnitPrice]]</f>
        <v>1080.82</v>
      </c>
    </row>
    <row r="86" spans="1:16" hidden="1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9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>
        <f t="shared" si="1"/>
        <v>2</v>
      </c>
      <c r="M86" t="s">
        <v>4277</v>
      </c>
      <c r="N86" t="s">
        <v>4278</v>
      </c>
      <c r="O86" s="11">
        <v>330.98</v>
      </c>
      <c r="P86" s="9">
        <f>DecodeLabs[[#This Row],[Abandoned Cart]]*DecodeLabs[[#This Row],[UnitPrice]]</f>
        <v>330.98</v>
      </c>
    </row>
    <row r="87" spans="1:16" hidden="1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9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>
        <f t="shared" si="1"/>
        <v>5</v>
      </c>
      <c r="M87" t="s">
        <v>4276</v>
      </c>
      <c r="N87" t="s">
        <v>4280</v>
      </c>
      <c r="O87" s="11">
        <v>440.18999999999988</v>
      </c>
      <c r="P87" s="9">
        <f>DecodeLabs[[#This Row],[Abandoned Cart]]*DecodeLabs[[#This Row],[UnitPrice]]</f>
        <v>733.65</v>
      </c>
    </row>
    <row r="88" spans="1:16" hidden="1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9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>
        <f t="shared" si="1"/>
        <v>0</v>
      </c>
      <c r="M88" t="s">
        <v>4276</v>
      </c>
      <c r="N88" t="s">
        <v>4279</v>
      </c>
      <c r="O88" s="11">
        <v>3215.15</v>
      </c>
      <c r="P88" s="9">
        <f>DecodeLabs[[#This Row],[Abandoned Cart]]*DecodeLabs[[#This Row],[UnitPrice]]</f>
        <v>0</v>
      </c>
    </row>
    <row r="89" spans="1:16" hidden="1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>
        <f t="shared" si="1"/>
        <v>1</v>
      </c>
      <c r="M89" t="s">
        <v>4275</v>
      </c>
      <c r="N89" t="s">
        <v>4281</v>
      </c>
      <c r="O89" s="11">
        <v>675.33</v>
      </c>
      <c r="P89" s="9">
        <f>DecodeLabs[[#This Row],[Abandoned Cart]]*DecodeLabs[[#This Row],[UnitPrice]]</f>
        <v>225.11</v>
      </c>
    </row>
    <row r="90" spans="1:16" hidden="1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9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>
        <f t="shared" si="1"/>
        <v>4</v>
      </c>
      <c r="M90" t="s">
        <v>4283</v>
      </c>
      <c r="N90" t="s">
        <v>4282</v>
      </c>
      <c r="O90" s="11">
        <v>344.43</v>
      </c>
      <c r="P90" s="9">
        <f>DecodeLabs[[#This Row],[Abandoned Cart]]*DecodeLabs[[#This Row],[UnitPrice]]</f>
        <v>459.24</v>
      </c>
    </row>
    <row r="91" spans="1:16" hidden="1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9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>
        <f t="shared" si="1"/>
        <v>3</v>
      </c>
      <c r="M91" t="s">
        <v>4276</v>
      </c>
      <c r="N91" t="s">
        <v>4282</v>
      </c>
      <c r="O91" s="11">
        <v>2276.65</v>
      </c>
      <c r="P91" s="9">
        <f>DecodeLabs[[#This Row],[Abandoned Cart]]*DecodeLabs[[#This Row],[UnitPrice]]</f>
        <v>1365.99</v>
      </c>
    </row>
    <row r="92" spans="1:16" hidden="1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9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>
        <f t="shared" si="1"/>
        <v>0</v>
      </c>
      <c r="M92" t="s">
        <v>4275</v>
      </c>
      <c r="N92" t="s">
        <v>4280</v>
      </c>
      <c r="O92" s="11">
        <v>728.32</v>
      </c>
      <c r="P92" s="9">
        <f>DecodeLabs[[#This Row],[Abandoned Cart]]*DecodeLabs[[#This Row],[UnitPrice]]</f>
        <v>0</v>
      </c>
    </row>
    <row r="93" spans="1:16" hidden="1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9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>
        <f t="shared" si="1"/>
        <v>1</v>
      </c>
      <c r="M93" t="s">
        <v>4277</v>
      </c>
      <c r="N93" t="s">
        <v>4279</v>
      </c>
      <c r="O93" s="11">
        <v>2463.75</v>
      </c>
      <c r="P93" s="9">
        <f>DecodeLabs[[#This Row],[Abandoned Cart]]*DecodeLabs[[#This Row],[UnitPrice]]</f>
        <v>492.75</v>
      </c>
    </row>
    <row r="94" spans="1:16" hidden="1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9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>
        <f t="shared" si="1"/>
        <v>3</v>
      </c>
      <c r="M94" t="s">
        <v>4276</v>
      </c>
      <c r="N94" t="s">
        <v>4281</v>
      </c>
      <c r="O94" s="11">
        <v>194.44</v>
      </c>
      <c r="P94" s="9">
        <f>DecodeLabs[[#This Row],[Abandoned Cart]]*DecodeLabs[[#This Row],[UnitPrice]]</f>
        <v>145.82999999999998</v>
      </c>
    </row>
    <row r="95" spans="1:16" hidden="1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9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>
        <f t="shared" si="1"/>
        <v>3</v>
      </c>
      <c r="M95" t="s">
        <v>4283</v>
      </c>
      <c r="N95" t="s">
        <v>4279</v>
      </c>
      <c r="O95" s="11">
        <v>1724.04</v>
      </c>
      <c r="P95" s="9">
        <f>DecodeLabs[[#This Row],[Abandoned Cart]]*DecodeLabs[[#This Row],[UnitPrice]]</f>
        <v>1293.03</v>
      </c>
    </row>
    <row r="96" spans="1:16" hidden="1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9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>
        <f t="shared" si="1"/>
        <v>5</v>
      </c>
      <c r="M96" t="s">
        <v>4277</v>
      </c>
      <c r="N96" t="s">
        <v>4278</v>
      </c>
      <c r="O96" s="11">
        <v>531.17999999999995</v>
      </c>
      <c r="P96" s="9">
        <f>DecodeLabs[[#This Row],[Abandoned Cart]]*DecodeLabs[[#This Row],[UnitPrice]]</f>
        <v>2655.8999999999996</v>
      </c>
    </row>
    <row r="97" spans="1:16" hidden="1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9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>
        <f t="shared" si="1"/>
        <v>3</v>
      </c>
      <c r="M97" t="s">
        <v>4283</v>
      </c>
      <c r="N97" t="s">
        <v>4279</v>
      </c>
      <c r="O97" s="11">
        <v>470.04</v>
      </c>
      <c r="P97" s="9">
        <f>DecodeLabs[[#This Row],[Abandoned Cart]]*DecodeLabs[[#This Row],[UnitPrice]]</f>
        <v>352.53000000000003</v>
      </c>
    </row>
    <row r="98" spans="1:16" hidden="1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9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>
        <f t="shared" si="1"/>
        <v>5</v>
      </c>
      <c r="M98" t="s">
        <v>4283</v>
      </c>
      <c r="N98" t="s">
        <v>4278</v>
      </c>
      <c r="O98" s="11">
        <v>465.66</v>
      </c>
      <c r="P98" s="9">
        <f>DecodeLabs[[#This Row],[Abandoned Cart]]*DecodeLabs[[#This Row],[UnitPrice]]</f>
        <v>1164.1500000000001</v>
      </c>
    </row>
    <row r="99" spans="1:16" hidden="1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>
        <f t="shared" si="1"/>
        <v>4</v>
      </c>
      <c r="M99" t="s">
        <v>4283</v>
      </c>
      <c r="N99" t="s">
        <v>4280</v>
      </c>
      <c r="O99" s="11">
        <v>3097.6</v>
      </c>
      <c r="P99" s="9">
        <f>DecodeLabs[[#This Row],[Abandoned Cart]]*DecodeLabs[[#This Row],[UnitPrice]]</f>
        <v>2478.08</v>
      </c>
    </row>
    <row r="100" spans="1:16" hidden="1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9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>
        <f t="shared" si="1"/>
        <v>1</v>
      </c>
      <c r="M100" t="s">
        <v>4283</v>
      </c>
      <c r="N100" t="s">
        <v>4280</v>
      </c>
      <c r="O100" s="11">
        <v>457.08</v>
      </c>
      <c r="P100" s="9">
        <f>DecodeLabs[[#This Row],[Abandoned Cart]]*DecodeLabs[[#This Row],[UnitPrice]]</f>
        <v>228.54</v>
      </c>
    </row>
    <row r="101" spans="1:16" hidden="1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9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>
        <f t="shared" si="1"/>
        <v>1</v>
      </c>
      <c r="M101" t="s">
        <v>4277</v>
      </c>
      <c r="N101" t="s">
        <v>4280</v>
      </c>
      <c r="O101" s="11">
        <v>201.58</v>
      </c>
      <c r="P101" s="9">
        <f>DecodeLabs[[#This Row],[Abandoned Cart]]*DecodeLabs[[#This Row],[UnitPrice]]</f>
        <v>201.58</v>
      </c>
    </row>
    <row r="102" spans="1:16" hidden="1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9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>
        <f t="shared" si="1"/>
        <v>3</v>
      </c>
      <c r="M102" t="s">
        <v>4283</v>
      </c>
      <c r="N102" t="s">
        <v>4281</v>
      </c>
      <c r="O102" s="11">
        <v>1994.37</v>
      </c>
      <c r="P102" s="9">
        <f>DecodeLabs[[#This Row],[Abandoned Cart]]*DecodeLabs[[#This Row],[UnitPrice]]</f>
        <v>1994.37</v>
      </c>
    </row>
    <row r="103" spans="1:16" hidden="1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9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>
        <f t="shared" si="1"/>
        <v>5</v>
      </c>
      <c r="M103" t="s">
        <v>4283</v>
      </c>
      <c r="N103" t="s">
        <v>4282</v>
      </c>
      <c r="O103" s="11">
        <v>381.02</v>
      </c>
      <c r="P103" s="9">
        <f>DecodeLabs[[#This Row],[Abandoned Cart]]*DecodeLabs[[#This Row],[UnitPrice]]</f>
        <v>1905.1</v>
      </c>
    </row>
    <row r="104" spans="1:16" hidden="1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9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>
        <f t="shared" si="1"/>
        <v>1</v>
      </c>
      <c r="M104" t="s">
        <v>4276</v>
      </c>
      <c r="N104" t="s">
        <v>4280</v>
      </c>
      <c r="O104" s="11">
        <v>140.68</v>
      </c>
      <c r="P104" s="9">
        <f>DecodeLabs[[#This Row],[Abandoned Cart]]*DecodeLabs[[#This Row],[UnitPrice]]</f>
        <v>70.34</v>
      </c>
    </row>
    <row r="105" spans="1:16" hidden="1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9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>
        <f t="shared" si="1"/>
        <v>5</v>
      </c>
      <c r="M105" t="s">
        <v>4275</v>
      </c>
      <c r="N105" t="s">
        <v>4280</v>
      </c>
      <c r="O105" s="11">
        <v>873.72</v>
      </c>
      <c r="P105" s="9">
        <f>DecodeLabs[[#This Row],[Abandoned Cart]]*DecodeLabs[[#This Row],[UnitPrice]]</f>
        <v>1092.1500000000001</v>
      </c>
    </row>
    <row r="106" spans="1:16" hidden="1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9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>
        <f t="shared" si="1"/>
        <v>0</v>
      </c>
      <c r="M106" t="s">
        <v>4276</v>
      </c>
      <c r="N106" t="s">
        <v>4280</v>
      </c>
      <c r="O106" s="11">
        <v>582.04</v>
      </c>
      <c r="P106" s="9">
        <f>DecodeLabs[[#This Row],[Abandoned Cart]]*DecodeLabs[[#This Row],[UnitPrice]]</f>
        <v>0</v>
      </c>
    </row>
    <row r="107" spans="1:16" hidden="1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9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>
        <f t="shared" si="1"/>
        <v>4</v>
      </c>
      <c r="M107" t="s">
        <v>4283</v>
      </c>
      <c r="N107" t="s">
        <v>4281</v>
      </c>
      <c r="O107" s="11">
        <v>556.20000000000005</v>
      </c>
      <c r="P107" s="9">
        <f>DecodeLabs[[#This Row],[Abandoned Cart]]*DecodeLabs[[#This Row],[UnitPrice]]</f>
        <v>741.6</v>
      </c>
    </row>
    <row r="108" spans="1:16" hidden="1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9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>
        <f t="shared" si="1"/>
        <v>0</v>
      </c>
      <c r="M108" t="s">
        <v>4275</v>
      </c>
      <c r="N108" t="s">
        <v>4280</v>
      </c>
      <c r="O108" s="11">
        <v>1395.15</v>
      </c>
      <c r="P108" s="9">
        <f>DecodeLabs[[#This Row],[Abandoned Cart]]*DecodeLabs[[#This Row],[UnitPrice]]</f>
        <v>0</v>
      </c>
    </row>
    <row r="109" spans="1:16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>
        <f t="shared" si="1"/>
        <v>3</v>
      </c>
      <c r="M109" t="s">
        <v>4276</v>
      </c>
      <c r="N109" t="s">
        <v>4278</v>
      </c>
      <c r="O109" s="11">
        <v>3353.75</v>
      </c>
      <c r="P109" s="9">
        <f>DecodeLabs[[#This Row],[Abandoned Cart]]*DecodeLabs[[#This Row],[UnitPrice]]</f>
        <v>2012.25</v>
      </c>
    </row>
    <row r="110" spans="1:16" hidden="1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9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>
        <f t="shared" si="1"/>
        <v>4</v>
      </c>
      <c r="M110" t="s">
        <v>4277</v>
      </c>
      <c r="N110" t="s">
        <v>4280</v>
      </c>
      <c r="O110" s="11">
        <v>241.9</v>
      </c>
      <c r="P110" s="9">
        <f>DecodeLabs[[#This Row],[Abandoned Cart]]*DecodeLabs[[#This Row],[UnitPrice]]</f>
        <v>193.52</v>
      </c>
    </row>
    <row r="111" spans="1:16" hidden="1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9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>
        <f t="shared" si="1"/>
        <v>0</v>
      </c>
      <c r="M111" t="s">
        <v>4276</v>
      </c>
      <c r="N111" t="s">
        <v>4279</v>
      </c>
      <c r="O111" s="11">
        <v>1778.61</v>
      </c>
      <c r="P111" s="9">
        <f>DecodeLabs[[#This Row],[Abandoned Cart]]*DecodeLabs[[#This Row],[UnitPrice]]</f>
        <v>0</v>
      </c>
    </row>
    <row r="112" spans="1:16" hidden="1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9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>
        <f t="shared" si="1"/>
        <v>4</v>
      </c>
      <c r="M112" t="s">
        <v>4276</v>
      </c>
      <c r="N112" t="s">
        <v>4278</v>
      </c>
      <c r="O112" s="11">
        <v>220.77</v>
      </c>
      <c r="P112" s="9">
        <f>DecodeLabs[[#This Row],[Abandoned Cart]]*DecodeLabs[[#This Row],[UnitPrice]]</f>
        <v>883.08</v>
      </c>
    </row>
    <row r="113" spans="1:16" hidden="1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9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>
        <f t="shared" si="1"/>
        <v>4</v>
      </c>
      <c r="M113" t="s">
        <v>4276</v>
      </c>
      <c r="N113" t="s">
        <v>4282</v>
      </c>
      <c r="O113" s="11">
        <v>927.66000000000008</v>
      </c>
      <c r="P113" s="9">
        <f>DecodeLabs[[#This Row],[Abandoned Cart]]*DecodeLabs[[#This Row],[UnitPrice]]</f>
        <v>1236.8800000000001</v>
      </c>
    </row>
    <row r="114" spans="1:16" hidden="1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9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>
        <f t="shared" si="1"/>
        <v>1</v>
      </c>
      <c r="M114" t="s">
        <v>4277</v>
      </c>
      <c r="N114" t="s">
        <v>4279</v>
      </c>
      <c r="O114" s="11">
        <v>410.6</v>
      </c>
      <c r="P114" s="9">
        <f>DecodeLabs[[#This Row],[Abandoned Cart]]*DecodeLabs[[#This Row],[UnitPrice]]</f>
        <v>410.6</v>
      </c>
    </row>
    <row r="115" spans="1:16" hidden="1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9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>
        <f t="shared" si="1"/>
        <v>4</v>
      </c>
      <c r="M115" t="s">
        <v>4276</v>
      </c>
      <c r="N115" t="s">
        <v>4278</v>
      </c>
      <c r="O115" s="11">
        <v>950.40000000000009</v>
      </c>
      <c r="P115" s="9">
        <f>DecodeLabs[[#This Row],[Abandoned Cart]]*DecodeLabs[[#This Row],[UnitPrice]]</f>
        <v>760.32</v>
      </c>
    </row>
    <row r="116" spans="1:16" hidden="1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9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>
        <f t="shared" si="1"/>
        <v>3</v>
      </c>
      <c r="M116" t="s">
        <v>4275</v>
      </c>
      <c r="N116" t="s">
        <v>4282</v>
      </c>
      <c r="O116" s="11">
        <v>2492.4</v>
      </c>
      <c r="P116" s="9">
        <f>DecodeLabs[[#This Row],[Abandoned Cart]]*DecodeLabs[[#This Row],[UnitPrice]]</f>
        <v>1495.44</v>
      </c>
    </row>
    <row r="117" spans="1:16" hidden="1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9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>
        <f t="shared" si="1"/>
        <v>4</v>
      </c>
      <c r="M117" t="s">
        <v>4275</v>
      </c>
      <c r="N117" t="s">
        <v>4281</v>
      </c>
      <c r="O117" s="11">
        <v>1874.95</v>
      </c>
      <c r="P117" s="9">
        <f>DecodeLabs[[#This Row],[Abandoned Cart]]*DecodeLabs[[#This Row],[UnitPrice]]</f>
        <v>1499.96</v>
      </c>
    </row>
    <row r="118" spans="1:16" hidden="1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9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>
        <f t="shared" si="1"/>
        <v>2</v>
      </c>
      <c r="M118" t="s">
        <v>4277</v>
      </c>
      <c r="N118" t="s">
        <v>4281</v>
      </c>
      <c r="O118" s="11">
        <v>1165.4000000000001</v>
      </c>
      <c r="P118" s="9">
        <f>DecodeLabs[[#This Row],[Abandoned Cart]]*DecodeLabs[[#This Row],[UnitPrice]]</f>
        <v>582.70000000000005</v>
      </c>
    </row>
    <row r="119" spans="1:16" hidden="1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>
        <f t="shared" si="1"/>
        <v>4</v>
      </c>
      <c r="M119" t="s">
        <v>4277</v>
      </c>
      <c r="N119" t="s">
        <v>4279</v>
      </c>
      <c r="O119" s="11">
        <v>535.5</v>
      </c>
      <c r="P119" s="9">
        <f>DecodeLabs[[#This Row],[Abandoned Cart]]*DecodeLabs[[#This Row],[UnitPrice]]</f>
        <v>2142</v>
      </c>
    </row>
    <row r="120" spans="1:16" hidden="1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9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>
        <f t="shared" si="1"/>
        <v>2</v>
      </c>
      <c r="M120" t="s">
        <v>4276</v>
      </c>
      <c r="N120" t="s">
        <v>4282</v>
      </c>
      <c r="O120" s="11">
        <v>2513.5500000000002</v>
      </c>
      <c r="P120" s="9">
        <f>DecodeLabs[[#This Row],[Abandoned Cart]]*DecodeLabs[[#This Row],[UnitPrice]]</f>
        <v>1005.42</v>
      </c>
    </row>
    <row r="121" spans="1:16" hidden="1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9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>
        <f t="shared" si="1"/>
        <v>5</v>
      </c>
      <c r="M121" t="s">
        <v>4276</v>
      </c>
      <c r="N121" t="s">
        <v>4279</v>
      </c>
      <c r="O121" s="11">
        <v>1069.3399999999999</v>
      </c>
      <c r="P121" s="9">
        <f>DecodeLabs[[#This Row],[Abandoned Cart]]*DecodeLabs[[#This Row],[UnitPrice]]</f>
        <v>2673.35</v>
      </c>
    </row>
    <row r="122" spans="1:16" hidden="1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9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>
        <f t="shared" si="1"/>
        <v>0</v>
      </c>
      <c r="M122" t="s">
        <v>4277</v>
      </c>
      <c r="N122" t="s">
        <v>4278</v>
      </c>
      <c r="O122" s="11">
        <v>2517.36</v>
      </c>
      <c r="P122" s="9">
        <f>DecodeLabs[[#This Row],[Abandoned Cart]]*DecodeLabs[[#This Row],[UnitPrice]]</f>
        <v>0</v>
      </c>
    </row>
    <row r="123" spans="1:16" hidden="1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9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>
        <f t="shared" si="1"/>
        <v>0</v>
      </c>
      <c r="M123" t="s">
        <v>4276</v>
      </c>
      <c r="N123" t="s">
        <v>4278</v>
      </c>
      <c r="O123" s="11">
        <v>410.78</v>
      </c>
      <c r="P123" s="9">
        <f>DecodeLabs[[#This Row],[Abandoned Cart]]*DecodeLabs[[#This Row],[UnitPrice]]</f>
        <v>0</v>
      </c>
    </row>
    <row r="124" spans="1:16" hidden="1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9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>
        <f t="shared" si="1"/>
        <v>0</v>
      </c>
      <c r="M124" t="s">
        <v>4283</v>
      </c>
      <c r="N124" t="s">
        <v>4281</v>
      </c>
      <c r="O124" s="11">
        <v>1066.04</v>
      </c>
      <c r="P124" s="9">
        <f>DecodeLabs[[#This Row],[Abandoned Cart]]*DecodeLabs[[#This Row],[UnitPrice]]</f>
        <v>0</v>
      </c>
    </row>
    <row r="125" spans="1:16" hidden="1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9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>
        <f t="shared" si="1"/>
        <v>2</v>
      </c>
      <c r="M125" t="s">
        <v>4283</v>
      </c>
      <c r="N125" t="s">
        <v>4278</v>
      </c>
      <c r="O125" s="11">
        <v>834.12000000000012</v>
      </c>
      <c r="P125" s="9">
        <f>DecodeLabs[[#This Row],[Abandoned Cart]]*DecodeLabs[[#This Row],[UnitPrice]]</f>
        <v>556.08000000000004</v>
      </c>
    </row>
    <row r="126" spans="1:16" hidden="1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9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>
        <f t="shared" si="1"/>
        <v>4</v>
      </c>
      <c r="M126" t="s">
        <v>4283</v>
      </c>
      <c r="N126" t="s">
        <v>4282</v>
      </c>
      <c r="O126" s="11">
        <v>1135.1600000000001</v>
      </c>
      <c r="P126" s="9">
        <f>DecodeLabs[[#This Row],[Abandoned Cart]]*DecodeLabs[[#This Row],[UnitPrice]]</f>
        <v>1135.1600000000001</v>
      </c>
    </row>
    <row r="127" spans="1:16" hidden="1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9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>
        <f t="shared" si="1"/>
        <v>3</v>
      </c>
      <c r="M127" t="s">
        <v>4275</v>
      </c>
      <c r="N127" t="s">
        <v>4280</v>
      </c>
      <c r="O127" s="11">
        <v>1025.3</v>
      </c>
      <c r="P127" s="9">
        <f>DecodeLabs[[#This Row],[Abandoned Cart]]*DecodeLabs[[#This Row],[UnitPrice]]</f>
        <v>1537.9499999999998</v>
      </c>
    </row>
    <row r="128" spans="1:16" hidden="1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9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>
        <f t="shared" si="1"/>
        <v>4</v>
      </c>
      <c r="M128" t="s">
        <v>4276</v>
      </c>
      <c r="N128" t="s">
        <v>4282</v>
      </c>
      <c r="O128" s="11">
        <v>1102</v>
      </c>
      <c r="P128" s="9">
        <f>DecodeLabs[[#This Row],[Abandoned Cart]]*DecodeLabs[[#This Row],[UnitPrice]]</f>
        <v>1102</v>
      </c>
    </row>
    <row r="129" spans="1:16" hidden="1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>
        <f t="shared" si="1"/>
        <v>0</v>
      </c>
      <c r="M129" t="s">
        <v>4283</v>
      </c>
      <c r="N129" t="s">
        <v>4282</v>
      </c>
      <c r="O129" s="11">
        <v>1407.96</v>
      </c>
      <c r="P129" s="9">
        <f>DecodeLabs[[#This Row],[Abandoned Cart]]*DecodeLabs[[#This Row],[UnitPrice]]</f>
        <v>0</v>
      </c>
    </row>
    <row r="130" spans="1:16" hidden="1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9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>
        <f t="shared" ref="L130:L193" si="2">K130-E130</f>
        <v>0</v>
      </c>
      <c r="M130" t="s">
        <v>4276</v>
      </c>
      <c r="N130" t="s">
        <v>4282</v>
      </c>
      <c r="O130" s="11">
        <v>84.28</v>
      </c>
      <c r="P130" s="9">
        <f>DecodeLabs[[#This Row],[Abandoned Cart]]*DecodeLabs[[#This Row],[UnitPrice]]</f>
        <v>0</v>
      </c>
    </row>
    <row r="131" spans="1:16" hidden="1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9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>
        <f t="shared" si="2"/>
        <v>0</v>
      </c>
      <c r="M131" t="s">
        <v>4276</v>
      </c>
      <c r="N131" t="s">
        <v>4281</v>
      </c>
      <c r="O131" s="11">
        <v>1055.72</v>
      </c>
      <c r="P131" s="9">
        <f>DecodeLabs[[#This Row],[Abandoned Cart]]*DecodeLabs[[#This Row],[UnitPrice]]</f>
        <v>0</v>
      </c>
    </row>
    <row r="132" spans="1:16" hidden="1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9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>
        <f t="shared" si="2"/>
        <v>0</v>
      </c>
      <c r="M132" t="s">
        <v>4277</v>
      </c>
      <c r="N132" t="s">
        <v>4281</v>
      </c>
      <c r="O132" s="11">
        <v>1503.9</v>
      </c>
      <c r="P132" s="9">
        <f>DecodeLabs[[#This Row],[Abandoned Cart]]*DecodeLabs[[#This Row],[UnitPrice]]</f>
        <v>0</v>
      </c>
    </row>
    <row r="133" spans="1:16" hidden="1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9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>
        <f t="shared" si="2"/>
        <v>4</v>
      </c>
      <c r="M133" t="s">
        <v>4283</v>
      </c>
      <c r="N133" t="s">
        <v>4278</v>
      </c>
      <c r="O133" s="11">
        <v>84.8</v>
      </c>
      <c r="P133" s="9">
        <f>DecodeLabs[[#This Row],[Abandoned Cart]]*DecodeLabs[[#This Row],[UnitPrice]]</f>
        <v>339.2</v>
      </c>
    </row>
    <row r="134" spans="1:16" hidden="1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9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>
        <f t="shared" si="2"/>
        <v>2</v>
      </c>
      <c r="M134" t="s">
        <v>4277</v>
      </c>
      <c r="N134" t="s">
        <v>4280</v>
      </c>
      <c r="O134" s="11">
        <v>1803</v>
      </c>
      <c r="P134" s="9">
        <f>DecodeLabs[[#This Row],[Abandoned Cart]]*DecodeLabs[[#This Row],[UnitPrice]]</f>
        <v>901.5</v>
      </c>
    </row>
    <row r="135" spans="1:16" hidden="1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9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>
        <f t="shared" si="2"/>
        <v>2</v>
      </c>
      <c r="M135" t="s">
        <v>4275</v>
      </c>
      <c r="N135" t="s">
        <v>4282</v>
      </c>
      <c r="O135" s="11">
        <v>1208.2</v>
      </c>
      <c r="P135" s="9">
        <f>DecodeLabs[[#This Row],[Abandoned Cart]]*DecodeLabs[[#This Row],[UnitPrice]]</f>
        <v>604.1</v>
      </c>
    </row>
    <row r="136" spans="1:16" hidden="1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9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>
        <f t="shared" si="2"/>
        <v>2</v>
      </c>
      <c r="M136" t="s">
        <v>4283</v>
      </c>
      <c r="N136" t="s">
        <v>4280</v>
      </c>
      <c r="O136" s="11">
        <v>399.4</v>
      </c>
      <c r="P136" s="9">
        <f>DecodeLabs[[#This Row],[Abandoned Cart]]*DecodeLabs[[#This Row],[UnitPrice]]</f>
        <v>399.4</v>
      </c>
    </row>
    <row r="137" spans="1:16" hidden="1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9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>
        <f t="shared" si="2"/>
        <v>3</v>
      </c>
      <c r="M137" t="s">
        <v>4275</v>
      </c>
      <c r="N137" t="s">
        <v>4279</v>
      </c>
      <c r="O137" s="11">
        <v>137.62</v>
      </c>
      <c r="P137" s="9">
        <f>DecodeLabs[[#This Row],[Abandoned Cart]]*DecodeLabs[[#This Row],[UnitPrice]]</f>
        <v>206.43</v>
      </c>
    </row>
    <row r="138" spans="1:16" hidden="1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9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>
        <f t="shared" si="2"/>
        <v>0</v>
      </c>
      <c r="M138" t="s">
        <v>4275</v>
      </c>
      <c r="N138" t="s">
        <v>4278</v>
      </c>
      <c r="O138" s="11">
        <v>44.35</v>
      </c>
      <c r="P138" s="9">
        <f>DecodeLabs[[#This Row],[Abandoned Cart]]*DecodeLabs[[#This Row],[UnitPrice]]</f>
        <v>0</v>
      </c>
    </row>
    <row r="139" spans="1:16" hidden="1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>
        <f t="shared" si="2"/>
        <v>3</v>
      </c>
      <c r="M139" t="s">
        <v>4283</v>
      </c>
      <c r="N139" t="s">
        <v>4282</v>
      </c>
      <c r="O139" s="11">
        <v>501.96</v>
      </c>
      <c r="P139" s="9">
        <f>DecodeLabs[[#This Row],[Abandoned Cart]]*DecodeLabs[[#This Row],[UnitPrice]]</f>
        <v>752.93999999999994</v>
      </c>
    </row>
    <row r="140" spans="1:16" hidden="1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9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>
        <f t="shared" si="2"/>
        <v>2</v>
      </c>
      <c r="M140" t="s">
        <v>4277</v>
      </c>
      <c r="N140" t="s">
        <v>4282</v>
      </c>
      <c r="O140" s="11">
        <v>298.06</v>
      </c>
      <c r="P140" s="9">
        <f>DecodeLabs[[#This Row],[Abandoned Cart]]*DecodeLabs[[#This Row],[UnitPrice]]</f>
        <v>596.12</v>
      </c>
    </row>
    <row r="141" spans="1:16" hidden="1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9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>
        <f t="shared" si="2"/>
        <v>0</v>
      </c>
      <c r="M141" t="s">
        <v>4283</v>
      </c>
      <c r="N141" t="s">
        <v>4280</v>
      </c>
      <c r="O141" s="11">
        <v>583.9</v>
      </c>
      <c r="P141" s="9">
        <f>DecodeLabs[[#This Row],[Abandoned Cart]]*DecodeLabs[[#This Row],[UnitPrice]]</f>
        <v>0</v>
      </c>
    </row>
    <row r="142" spans="1:16" hidden="1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9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>
        <f t="shared" si="2"/>
        <v>0</v>
      </c>
      <c r="M142" t="s">
        <v>4276</v>
      </c>
      <c r="N142" t="s">
        <v>4280</v>
      </c>
      <c r="O142" s="11">
        <v>1584.42</v>
      </c>
      <c r="P142" s="9">
        <f>DecodeLabs[[#This Row],[Abandoned Cart]]*DecodeLabs[[#This Row],[UnitPrice]]</f>
        <v>0</v>
      </c>
    </row>
    <row r="143" spans="1:16" hidden="1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9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>
        <f t="shared" si="2"/>
        <v>0</v>
      </c>
      <c r="M143" t="s">
        <v>4277</v>
      </c>
      <c r="N143" t="s">
        <v>4278</v>
      </c>
      <c r="O143" s="11">
        <v>2052.42</v>
      </c>
      <c r="P143" s="9">
        <f>DecodeLabs[[#This Row],[Abandoned Cart]]*DecodeLabs[[#This Row],[UnitPrice]]</f>
        <v>0</v>
      </c>
    </row>
    <row r="144" spans="1:16" hidden="1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9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>
        <f t="shared" si="2"/>
        <v>2</v>
      </c>
      <c r="M144" t="s">
        <v>4277</v>
      </c>
      <c r="N144" t="s">
        <v>4280</v>
      </c>
      <c r="O144" s="11">
        <v>1363.85</v>
      </c>
      <c r="P144" s="9">
        <f>DecodeLabs[[#This Row],[Abandoned Cart]]*DecodeLabs[[#This Row],[UnitPrice]]</f>
        <v>545.54</v>
      </c>
    </row>
    <row r="145" spans="1:16" hidden="1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9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>
        <f t="shared" si="2"/>
        <v>1</v>
      </c>
      <c r="M145" t="s">
        <v>4283</v>
      </c>
      <c r="N145" t="s">
        <v>4279</v>
      </c>
      <c r="O145" s="11">
        <v>1600.28</v>
      </c>
      <c r="P145" s="9">
        <f>DecodeLabs[[#This Row],[Abandoned Cart]]*DecodeLabs[[#This Row],[UnitPrice]]</f>
        <v>400.07</v>
      </c>
    </row>
    <row r="146" spans="1:16" hidden="1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9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>
        <f t="shared" si="2"/>
        <v>3</v>
      </c>
      <c r="M146" t="s">
        <v>4283</v>
      </c>
      <c r="N146" t="s">
        <v>4281</v>
      </c>
      <c r="O146" s="11">
        <v>1098.9000000000001</v>
      </c>
      <c r="P146" s="9">
        <f>DecodeLabs[[#This Row],[Abandoned Cart]]*DecodeLabs[[#This Row],[UnitPrice]]</f>
        <v>659.34</v>
      </c>
    </row>
    <row r="147" spans="1:16" hidden="1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9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>
        <f t="shared" si="2"/>
        <v>3</v>
      </c>
      <c r="M147" t="s">
        <v>4276</v>
      </c>
      <c r="N147" t="s">
        <v>4282</v>
      </c>
      <c r="O147" s="11">
        <v>440.73</v>
      </c>
      <c r="P147" s="9">
        <f>DecodeLabs[[#This Row],[Abandoned Cart]]*DecodeLabs[[#This Row],[UnitPrice]]</f>
        <v>440.73</v>
      </c>
    </row>
    <row r="148" spans="1:16" hidden="1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9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>
        <f t="shared" si="2"/>
        <v>2</v>
      </c>
      <c r="M148" t="s">
        <v>4283</v>
      </c>
      <c r="N148" t="s">
        <v>4278</v>
      </c>
      <c r="O148" s="11">
        <v>822.98</v>
      </c>
      <c r="P148" s="9">
        <f>DecodeLabs[[#This Row],[Abandoned Cart]]*DecodeLabs[[#This Row],[UnitPrice]]</f>
        <v>822.98</v>
      </c>
    </row>
    <row r="149" spans="1:16" hidden="1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>
        <f t="shared" si="2"/>
        <v>0</v>
      </c>
      <c r="M149" t="s">
        <v>4275</v>
      </c>
      <c r="N149" t="s">
        <v>4282</v>
      </c>
      <c r="O149" s="11">
        <v>930.36</v>
      </c>
      <c r="P149" s="9">
        <f>DecodeLabs[[#This Row],[Abandoned Cart]]*DecodeLabs[[#This Row],[UnitPrice]]</f>
        <v>0</v>
      </c>
    </row>
    <row r="150" spans="1:16" hidden="1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9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>
        <f t="shared" si="2"/>
        <v>1</v>
      </c>
      <c r="M150" t="s">
        <v>4277</v>
      </c>
      <c r="N150" t="s">
        <v>4282</v>
      </c>
      <c r="O150" s="11">
        <v>639.82000000000005</v>
      </c>
      <c r="P150" s="9">
        <f>DecodeLabs[[#This Row],[Abandoned Cart]]*DecodeLabs[[#This Row],[UnitPrice]]</f>
        <v>319.91000000000003</v>
      </c>
    </row>
    <row r="151" spans="1:16" hidden="1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9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>
        <f t="shared" si="2"/>
        <v>2</v>
      </c>
      <c r="M151" t="s">
        <v>4283</v>
      </c>
      <c r="N151" t="s">
        <v>4281</v>
      </c>
      <c r="O151" s="11">
        <v>217.56</v>
      </c>
      <c r="P151" s="9">
        <f>DecodeLabs[[#This Row],[Abandoned Cart]]*DecodeLabs[[#This Row],[UnitPrice]]</f>
        <v>435.12</v>
      </c>
    </row>
    <row r="152" spans="1:16" hidden="1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9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>
        <f t="shared" si="2"/>
        <v>3</v>
      </c>
      <c r="M152" t="s">
        <v>4277</v>
      </c>
      <c r="N152" t="s">
        <v>4282</v>
      </c>
      <c r="O152" s="11">
        <v>211.14</v>
      </c>
      <c r="P152" s="9">
        <f>DecodeLabs[[#This Row],[Abandoned Cart]]*DecodeLabs[[#This Row],[UnitPrice]]</f>
        <v>316.70999999999998</v>
      </c>
    </row>
    <row r="153" spans="1:16" hidden="1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9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>
        <f t="shared" si="2"/>
        <v>2</v>
      </c>
      <c r="M153" t="s">
        <v>4283</v>
      </c>
      <c r="N153" t="s">
        <v>4280</v>
      </c>
      <c r="O153" s="11">
        <v>2223.8000000000002</v>
      </c>
      <c r="P153" s="9">
        <f>DecodeLabs[[#This Row],[Abandoned Cart]]*DecodeLabs[[#This Row],[UnitPrice]]</f>
        <v>889.52</v>
      </c>
    </row>
    <row r="154" spans="1:16" hidden="1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9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>
        <f t="shared" si="2"/>
        <v>1</v>
      </c>
      <c r="M154" t="s">
        <v>4276</v>
      </c>
      <c r="N154" t="s">
        <v>4279</v>
      </c>
      <c r="O154" s="11">
        <v>798.08</v>
      </c>
      <c r="P154" s="9">
        <f>DecodeLabs[[#This Row],[Abandoned Cart]]*DecodeLabs[[#This Row],[UnitPrice]]</f>
        <v>399.04</v>
      </c>
    </row>
    <row r="155" spans="1:16" hidden="1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9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>
        <f t="shared" si="2"/>
        <v>5</v>
      </c>
      <c r="M155" t="s">
        <v>4277</v>
      </c>
      <c r="N155" t="s">
        <v>4278</v>
      </c>
      <c r="O155" s="11">
        <v>2137.92</v>
      </c>
      <c r="P155" s="9">
        <f>DecodeLabs[[#This Row],[Abandoned Cart]]*DecodeLabs[[#This Row],[UnitPrice]]</f>
        <v>2672.4</v>
      </c>
    </row>
    <row r="156" spans="1:16" hidden="1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9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>
        <f t="shared" si="2"/>
        <v>5</v>
      </c>
      <c r="M156" t="s">
        <v>4283</v>
      </c>
      <c r="N156" t="s">
        <v>4278</v>
      </c>
      <c r="O156" s="11">
        <v>1632.84</v>
      </c>
      <c r="P156" s="9">
        <f>DecodeLabs[[#This Row],[Abandoned Cart]]*DecodeLabs[[#This Row],[UnitPrice]]</f>
        <v>2041.05</v>
      </c>
    </row>
    <row r="157" spans="1:16" hidden="1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9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>
        <f t="shared" si="2"/>
        <v>5</v>
      </c>
      <c r="M157" t="s">
        <v>4277</v>
      </c>
      <c r="N157" t="s">
        <v>4279</v>
      </c>
      <c r="O157" s="11">
        <v>424.4</v>
      </c>
      <c r="P157" s="9">
        <f>DecodeLabs[[#This Row],[Abandoned Cart]]*DecodeLabs[[#This Row],[UnitPrice]]</f>
        <v>2122</v>
      </c>
    </row>
    <row r="158" spans="1:16" hidden="1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9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>
        <f t="shared" si="2"/>
        <v>2</v>
      </c>
      <c r="M158" t="s">
        <v>4275</v>
      </c>
      <c r="N158" t="s">
        <v>4280</v>
      </c>
      <c r="O158" s="11">
        <v>539.66</v>
      </c>
      <c r="P158" s="9">
        <f>DecodeLabs[[#This Row],[Abandoned Cart]]*DecodeLabs[[#This Row],[UnitPrice]]</f>
        <v>539.66</v>
      </c>
    </row>
    <row r="159" spans="1:16" hidden="1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>
        <f t="shared" si="2"/>
        <v>2</v>
      </c>
      <c r="M159" t="s">
        <v>4277</v>
      </c>
      <c r="N159" t="s">
        <v>4281</v>
      </c>
      <c r="O159" s="11">
        <v>1129.1600000000001</v>
      </c>
      <c r="P159" s="9">
        <f>DecodeLabs[[#This Row],[Abandoned Cart]]*DecodeLabs[[#This Row],[UnitPrice]]</f>
        <v>1129.1600000000001</v>
      </c>
    </row>
    <row r="160" spans="1:16" hidden="1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9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>
        <f t="shared" si="2"/>
        <v>4</v>
      </c>
      <c r="M160" t="s">
        <v>4277</v>
      </c>
      <c r="N160" t="s">
        <v>4278</v>
      </c>
      <c r="O160" s="11">
        <v>331.06</v>
      </c>
      <c r="P160" s="9">
        <f>DecodeLabs[[#This Row],[Abandoned Cart]]*DecodeLabs[[#This Row],[UnitPrice]]</f>
        <v>1324.24</v>
      </c>
    </row>
    <row r="161" spans="1:16" hidden="1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9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>
        <f t="shared" si="2"/>
        <v>4</v>
      </c>
      <c r="M161" t="s">
        <v>4277</v>
      </c>
      <c r="N161" t="s">
        <v>4280</v>
      </c>
      <c r="O161" s="11">
        <v>299.35000000000002</v>
      </c>
      <c r="P161" s="9">
        <f>DecodeLabs[[#This Row],[Abandoned Cart]]*DecodeLabs[[#This Row],[UnitPrice]]</f>
        <v>1197.4000000000001</v>
      </c>
    </row>
    <row r="162" spans="1:16" hidden="1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9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>
        <f t="shared" si="2"/>
        <v>3</v>
      </c>
      <c r="M162" t="s">
        <v>4283</v>
      </c>
      <c r="N162" t="s">
        <v>4279</v>
      </c>
      <c r="O162" s="11">
        <v>405.28</v>
      </c>
      <c r="P162" s="9">
        <f>DecodeLabs[[#This Row],[Abandoned Cart]]*DecodeLabs[[#This Row],[UnitPrice]]</f>
        <v>303.95999999999998</v>
      </c>
    </row>
    <row r="163" spans="1:16" hidden="1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9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>
        <f t="shared" si="2"/>
        <v>0</v>
      </c>
      <c r="M163" t="s">
        <v>4275</v>
      </c>
      <c r="N163" t="s">
        <v>4281</v>
      </c>
      <c r="O163" s="11">
        <v>211.14</v>
      </c>
      <c r="P163" s="9">
        <f>DecodeLabs[[#This Row],[Abandoned Cart]]*DecodeLabs[[#This Row],[UnitPrice]]</f>
        <v>0</v>
      </c>
    </row>
    <row r="164" spans="1:16" hidden="1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9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>
        <f t="shared" si="2"/>
        <v>5</v>
      </c>
      <c r="M164" t="s">
        <v>4277</v>
      </c>
      <c r="N164" t="s">
        <v>4282</v>
      </c>
      <c r="O164" s="11">
        <v>197.58</v>
      </c>
      <c r="P164" s="9">
        <f>DecodeLabs[[#This Row],[Abandoned Cart]]*DecodeLabs[[#This Row],[UnitPrice]]</f>
        <v>329.3</v>
      </c>
    </row>
    <row r="165" spans="1:16" hidden="1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9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>
        <f t="shared" si="2"/>
        <v>0</v>
      </c>
      <c r="M165" t="s">
        <v>4283</v>
      </c>
      <c r="N165" t="s">
        <v>4279</v>
      </c>
      <c r="O165" s="11">
        <v>641.39</v>
      </c>
      <c r="P165" s="9">
        <f>DecodeLabs[[#This Row],[Abandoned Cart]]*DecodeLabs[[#This Row],[UnitPrice]]</f>
        <v>0</v>
      </c>
    </row>
    <row r="166" spans="1:16" hidden="1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9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>
        <f t="shared" si="2"/>
        <v>0</v>
      </c>
      <c r="M166" t="s">
        <v>4275</v>
      </c>
      <c r="N166" t="s">
        <v>4282</v>
      </c>
      <c r="O166" s="11">
        <v>2682.9</v>
      </c>
      <c r="P166" s="9">
        <f>DecodeLabs[[#This Row],[Abandoned Cart]]*DecodeLabs[[#This Row],[UnitPrice]]</f>
        <v>0</v>
      </c>
    </row>
    <row r="167" spans="1:16" hidden="1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9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>
        <f t="shared" si="2"/>
        <v>5</v>
      </c>
      <c r="M167" t="s">
        <v>4277</v>
      </c>
      <c r="N167" t="s">
        <v>4282</v>
      </c>
      <c r="O167" s="11">
        <v>1000.58</v>
      </c>
      <c r="P167" s="9">
        <f>DecodeLabs[[#This Row],[Abandoned Cart]]*DecodeLabs[[#This Row],[UnitPrice]]</f>
        <v>2501.4500000000003</v>
      </c>
    </row>
    <row r="168" spans="1:16" hidden="1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9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>
        <f t="shared" si="2"/>
        <v>3</v>
      </c>
      <c r="M168" t="s">
        <v>4277</v>
      </c>
      <c r="N168" t="s">
        <v>4278</v>
      </c>
      <c r="O168" s="11">
        <v>258.87</v>
      </c>
      <c r="P168" s="9">
        <f>DecodeLabs[[#This Row],[Abandoned Cart]]*DecodeLabs[[#This Row],[UnitPrice]]</f>
        <v>258.87</v>
      </c>
    </row>
    <row r="169" spans="1:16" hidden="1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>
        <f t="shared" si="2"/>
        <v>0</v>
      </c>
      <c r="M169" t="s">
        <v>4277</v>
      </c>
      <c r="N169" t="s">
        <v>4280</v>
      </c>
      <c r="O169" s="11">
        <v>768.28</v>
      </c>
      <c r="P169" s="9">
        <f>DecodeLabs[[#This Row],[Abandoned Cart]]*DecodeLabs[[#This Row],[UnitPrice]]</f>
        <v>0</v>
      </c>
    </row>
    <row r="170" spans="1:16" hidden="1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9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>
        <f t="shared" si="2"/>
        <v>5</v>
      </c>
      <c r="M170" t="s">
        <v>4283</v>
      </c>
      <c r="N170" t="s">
        <v>4281</v>
      </c>
      <c r="O170" s="11">
        <v>594.96</v>
      </c>
      <c r="P170" s="9">
        <f>DecodeLabs[[#This Row],[Abandoned Cart]]*DecodeLabs[[#This Row],[UnitPrice]]</f>
        <v>2974.8</v>
      </c>
    </row>
    <row r="171" spans="1:16" hidden="1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9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>
        <f t="shared" si="2"/>
        <v>1</v>
      </c>
      <c r="M171" t="s">
        <v>4277</v>
      </c>
      <c r="N171" t="s">
        <v>4280</v>
      </c>
      <c r="O171" s="11">
        <v>427.82</v>
      </c>
      <c r="P171" s="9">
        <f>DecodeLabs[[#This Row],[Abandoned Cart]]*DecodeLabs[[#This Row],[UnitPrice]]</f>
        <v>427.82</v>
      </c>
    </row>
    <row r="172" spans="1:16" hidden="1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9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>
        <f t="shared" si="2"/>
        <v>4</v>
      </c>
      <c r="M172" t="s">
        <v>4275</v>
      </c>
      <c r="N172" t="s">
        <v>4278</v>
      </c>
      <c r="O172" s="11">
        <v>2651.76</v>
      </c>
      <c r="P172" s="9">
        <f>DecodeLabs[[#This Row],[Abandoned Cart]]*DecodeLabs[[#This Row],[UnitPrice]]</f>
        <v>2651.76</v>
      </c>
    </row>
    <row r="173" spans="1:16" hidden="1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9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>
        <f t="shared" si="2"/>
        <v>5</v>
      </c>
      <c r="M173" t="s">
        <v>4277</v>
      </c>
      <c r="N173" t="s">
        <v>4278</v>
      </c>
      <c r="O173" s="11">
        <v>296.44</v>
      </c>
      <c r="P173" s="9">
        <f>DecodeLabs[[#This Row],[Abandoned Cart]]*DecodeLabs[[#This Row],[UnitPrice]]</f>
        <v>741.1</v>
      </c>
    </row>
    <row r="174" spans="1:16" hidden="1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9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>
        <f t="shared" si="2"/>
        <v>0</v>
      </c>
      <c r="M174" t="s">
        <v>4277</v>
      </c>
      <c r="N174" t="s">
        <v>4280</v>
      </c>
      <c r="O174" s="11">
        <v>254.12</v>
      </c>
      <c r="P174" s="9">
        <f>DecodeLabs[[#This Row],[Abandoned Cart]]*DecodeLabs[[#This Row],[UnitPrice]]</f>
        <v>0</v>
      </c>
    </row>
    <row r="175" spans="1:16" hidden="1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9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>
        <f t="shared" si="2"/>
        <v>1</v>
      </c>
      <c r="M175" t="s">
        <v>4276</v>
      </c>
      <c r="N175" t="s">
        <v>4282</v>
      </c>
      <c r="O175" s="11">
        <v>1993.38</v>
      </c>
      <c r="P175" s="9">
        <f>DecodeLabs[[#This Row],[Abandoned Cart]]*DecodeLabs[[#This Row],[UnitPrice]]</f>
        <v>664.46</v>
      </c>
    </row>
    <row r="176" spans="1:16" hidden="1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9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>
        <f t="shared" si="2"/>
        <v>5</v>
      </c>
      <c r="M176" t="s">
        <v>4275</v>
      </c>
      <c r="N176" t="s">
        <v>4280</v>
      </c>
      <c r="O176" s="11">
        <v>2403.2399999999998</v>
      </c>
      <c r="P176" s="9">
        <f>DecodeLabs[[#This Row],[Abandoned Cart]]*DecodeLabs[[#This Row],[UnitPrice]]</f>
        <v>3004.0499999999997</v>
      </c>
    </row>
    <row r="177" spans="1:16" hidden="1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9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>
        <f t="shared" si="2"/>
        <v>1</v>
      </c>
      <c r="M177" t="s">
        <v>4277</v>
      </c>
      <c r="N177" t="s">
        <v>4279</v>
      </c>
      <c r="O177" s="11">
        <v>341.7</v>
      </c>
      <c r="P177" s="9">
        <f>DecodeLabs[[#This Row],[Abandoned Cart]]*DecodeLabs[[#This Row],[UnitPrice]]</f>
        <v>68.34</v>
      </c>
    </row>
    <row r="178" spans="1:16" hidden="1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9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>
        <f t="shared" si="2"/>
        <v>4</v>
      </c>
      <c r="M178" t="s">
        <v>4277</v>
      </c>
      <c r="N178" t="s">
        <v>4279</v>
      </c>
      <c r="O178" s="11">
        <v>1723.32</v>
      </c>
      <c r="P178" s="9">
        <f>DecodeLabs[[#This Row],[Abandoned Cart]]*DecodeLabs[[#This Row],[UnitPrice]]</f>
        <v>1723.32</v>
      </c>
    </row>
    <row r="179" spans="1:16" hidden="1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>
        <f t="shared" si="2"/>
        <v>5</v>
      </c>
      <c r="M179" t="s">
        <v>4283</v>
      </c>
      <c r="N179" t="s">
        <v>4281</v>
      </c>
      <c r="O179" s="11">
        <v>2158.4499999999998</v>
      </c>
      <c r="P179" s="9">
        <f>DecodeLabs[[#This Row],[Abandoned Cart]]*DecodeLabs[[#This Row],[UnitPrice]]</f>
        <v>2158.4499999999998</v>
      </c>
    </row>
    <row r="180" spans="1:16" hidden="1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9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>
        <f t="shared" si="2"/>
        <v>1</v>
      </c>
      <c r="M180" t="s">
        <v>4275</v>
      </c>
      <c r="N180" t="s">
        <v>4282</v>
      </c>
      <c r="O180" s="11">
        <v>2048.2399999999998</v>
      </c>
      <c r="P180" s="9">
        <f>DecodeLabs[[#This Row],[Abandoned Cart]]*DecodeLabs[[#This Row],[UnitPrice]]</f>
        <v>512.05999999999995</v>
      </c>
    </row>
    <row r="181" spans="1:16" hidden="1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9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>
        <f t="shared" si="2"/>
        <v>5</v>
      </c>
      <c r="M181" t="s">
        <v>4283</v>
      </c>
      <c r="N181" t="s">
        <v>4280</v>
      </c>
      <c r="O181" s="11">
        <v>1619.73</v>
      </c>
      <c r="P181" s="9">
        <f>DecodeLabs[[#This Row],[Abandoned Cart]]*DecodeLabs[[#This Row],[UnitPrice]]</f>
        <v>2699.5499999999997</v>
      </c>
    </row>
    <row r="182" spans="1:16" hidden="1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9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>
        <f t="shared" si="2"/>
        <v>5</v>
      </c>
      <c r="M182" t="s">
        <v>4283</v>
      </c>
      <c r="N182" t="s">
        <v>4282</v>
      </c>
      <c r="O182" s="11">
        <v>1580.35</v>
      </c>
      <c r="P182" s="9">
        <f>DecodeLabs[[#This Row],[Abandoned Cart]]*DecodeLabs[[#This Row],[UnitPrice]]</f>
        <v>1580.35</v>
      </c>
    </row>
    <row r="183" spans="1:16" hidden="1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9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>
        <f t="shared" si="2"/>
        <v>5</v>
      </c>
      <c r="M183" t="s">
        <v>4283</v>
      </c>
      <c r="N183" t="s">
        <v>4279</v>
      </c>
      <c r="O183" s="11">
        <v>2021.95</v>
      </c>
      <c r="P183" s="9">
        <f>DecodeLabs[[#This Row],[Abandoned Cart]]*DecodeLabs[[#This Row],[UnitPrice]]</f>
        <v>2021.9499999999998</v>
      </c>
    </row>
    <row r="184" spans="1:16" hidden="1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9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>
        <f t="shared" si="2"/>
        <v>3</v>
      </c>
      <c r="M184" t="s">
        <v>4277</v>
      </c>
      <c r="N184" t="s">
        <v>4282</v>
      </c>
      <c r="O184" s="11">
        <v>600.54</v>
      </c>
      <c r="P184" s="9">
        <f>DecodeLabs[[#This Row],[Abandoned Cart]]*DecodeLabs[[#This Row],[UnitPrice]]</f>
        <v>1801.62</v>
      </c>
    </row>
    <row r="185" spans="1:16" hidden="1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9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>
        <f t="shared" si="2"/>
        <v>3</v>
      </c>
      <c r="M185" t="s">
        <v>4275</v>
      </c>
      <c r="N185" t="s">
        <v>4280</v>
      </c>
      <c r="O185" s="11">
        <v>931.4</v>
      </c>
      <c r="P185" s="9">
        <f>DecodeLabs[[#This Row],[Abandoned Cart]]*DecodeLabs[[#This Row],[UnitPrice]]</f>
        <v>558.84</v>
      </c>
    </row>
    <row r="186" spans="1:16" hidden="1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9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>
        <f t="shared" si="2"/>
        <v>3</v>
      </c>
      <c r="M186" t="s">
        <v>4283</v>
      </c>
      <c r="N186" t="s">
        <v>4279</v>
      </c>
      <c r="O186" s="11">
        <v>858.16</v>
      </c>
      <c r="P186" s="9">
        <f>DecodeLabs[[#This Row],[Abandoned Cart]]*DecodeLabs[[#This Row],[UnitPrice]]</f>
        <v>643.62</v>
      </c>
    </row>
    <row r="187" spans="1:16" hidden="1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9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>
        <f t="shared" si="2"/>
        <v>1</v>
      </c>
      <c r="M187" t="s">
        <v>4277</v>
      </c>
      <c r="N187" t="s">
        <v>4279</v>
      </c>
      <c r="O187" s="11">
        <v>210.7</v>
      </c>
      <c r="P187" s="9">
        <f>DecodeLabs[[#This Row],[Abandoned Cart]]*DecodeLabs[[#This Row],[UnitPrice]]</f>
        <v>210.7</v>
      </c>
    </row>
    <row r="188" spans="1:16" hidden="1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9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>
        <f t="shared" si="2"/>
        <v>5</v>
      </c>
      <c r="M188" t="s">
        <v>4276</v>
      </c>
      <c r="N188" t="s">
        <v>4281</v>
      </c>
      <c r="O188" s="11">
        <v>267.10000000000002</v>
      </c>
      <c r="P188" s="9">
        <f>DecodeLabs[[#This Row],[Abandoned Cart]]*DecodeLabs[[#This Row],[UnitPrice]]</f>
        <v>667.75</v>
      </c>
    </row>
    <row r="189" spans="1:16" hidden="1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>
        <f t="shared" si="2"/>
        <v>5</v>
      </c>
      <c r="M189" t="s">
        <v>4276</v>
      </c>
      <c r="N189" t="s">
        <v>4279</v>
      </c>
      <c r="O189" s="11">
        <v>590.87</v>
      </c>
      <c r="P189" s="9">
        <f>DecodeLabs[[#This Row],[Abandoned Cart]]*DecodeLabs[[#This Row],[UnitPrice]]</f>
        <v>2954.35</v>
      </c>
    </row>
    <row r="190" spans="1:16" hidden="1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9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>
        <f t="shared" si="2"/>
        <v>0</v>
      </c>
      <c r="M190" t="s">
        <v>4276</v>
      </c>
      <c r="N190" t="s">
        <v>4279</v>
      </c>
      <c r="O190" s="11">
        <v>727.82</v>
      </c>
      <c r="P190" s="9">
        <f>DecodeLabs[[#This Row],[Abandoned Cart]]*DecodeLabs[[#This Row],[UnitPrice]]</f>
        <v>0</v>
      </c>
    </row>
    <row r="191" spans="1:16" hidden="1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9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>
        <f t="shared" si="2"/>
        <v>0</v>
      </c>
      <c r="M191" t="s">
        <v>4277</v>
      </c>
      <c r="N191" t="s">
        <v>4280</v>
      </c>
      <c r="O191" s="11">
        <v>2147.25</v>
      </c>
      <c r="P191" s="9">
        <f>DecodeLabs[[#This Row],[Abandoned Cart]]*DecodeLabs[[#This Row],[UnitPrice]]</f>
        <v>0</v>
      </c>
    </row>
    <row r="192" spans="1:16" hidden="1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9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>
        <f t="shared" si="2"/>
        <v>0</v>
      </c>
      <c r="M192" t="s">
        <v>4275</v>
      </c>
      <c r="N192" t="s">
        <v>4280</v>
      </c>
      <c r="O192" s="11">
        <v>671.09999999999991</v>
      </c>
      <c r="P192" s="9">
        <f>DecodeLabs[[#This Row],[Abandoned Cart]]*DecodeLabs[[#This Row],[UnitPrice]]</f>
        <v>0</v>
      </c>
    </row>
    <row r="193" spans="1:16" hidden="1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9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>
        <f t="shared" si="2"/>
        <v>2</v>
      </c>
      <c r="M193" t="s">
        <v>4276</v>
      </c>
      <c r="N193" t="s">
        <v>4282</v>
      </c>
      <c r="O193" s="11">
        <v>977.74</v>
      </c>
      <c r="P193" s="9">
        <f>DecodeLabs[[#This Row],[Abandoned Cart]]*DecodeLabs[[#This Row],[UnitPrice]]</f>
        <v>977.74</v>
      </c>
    </row>
    <row r="194" spans="1:16" hidden="1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9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>
        <f t="shared" ref="L194:L257" si="3">K194-E194</f>
        <v>4</v>
      </c>
      <c r="M194" t="s">
        <v>4275</v>
      </c>
      <c r="N194" t="s">
        <v>4282</v>
      </c>
      <c r="O194" s="11">
        <v>645.46</v>
      </c>
      <c r="P194" s="9">
        <f>DecodeLabs[[#This Row],[Abandoned Cart]]*DecodeLabs[[#This Row],[UnitPrice]]</f>
        <v>2581.84</v>
      </c>
    </row>
    <row r="195" spans="1:16" hidden="1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9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>
        <f t="shared" si="3"/>
        <v>5</v>
      </c>
      <c r="M195" t="s">
        <v>4283</v>
      </c>
      <c r="N195" t="s">
        <v>4282</v>
      </c>
      <c r="O195" s="11">
        <v>46.66</v>
      </c>
      <c r="P195" s="9">
        <f>DecodeLabs[[#This Row],[Abandoned Cart]]*DecodeLabs[[#This Row],[UnitPrice]]</f>
        <v>233.29999999999998</v>
      </c>
    </row>
    <row r="196" spans="1:16" hidden="1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9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>
        <f t="shared" si="3"/>
        <v>2</v>
      </c>
      <c r="M196" t="s">
        <v>4276</v>
      </c>
      <c r="N196" t="s">
        <v>4282</v>
      </c>
      <c r="O196" s="11">
        <v>249.57</v>
      </c>
      <c r="P196" s="9">
        <f>DecodeLabs[[#This Row],[Abandoned Cart]]*DecodeLabs[[#This Row],[UnitPrice]]</f>
        <v>499.14</v>
      </c>
    </row>
    <row r="197" spans="1:16" hidden="1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9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>
        <f t="shared" si="3"/>
        <v>3</v>
      </c>
      <c r="M197" t="s">
        <v>4283</v>
      </c>
      <c r="N197" t="s">
        <v>4280</v>
      </c>
      <c r="O197" s="11">
        <v>1857.63</v>
      </c>
      <c r="P197" s="9">
        <f>DecodeLabs[[#This Row],[Abandoned Cart]]*DecodeLabs[[#This Row],[UnitPrice]]</f>
        <v>1857.63</v>
      </c>
    </row>
    <row r="198" spans="1:16" hidden="1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9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>
        <f t="shared" si="3"/>
        <v>4</v>
      </c>
      <c r="M198" t="s">
        <v>4277</v>
      </c>
      <c r="N198" t="s">
        <v>4280</v>
      </c>
      <c r="O198" s="11">
        <v>868.52</v>
      </c>
      <c r="P198" s="9">
        <f>DecodeLabs[[#This Row],[Abandoned Cart]]*DecodeLabs[[#This Row],[UnitPrice]]</f>
        <v>868.52</v>
      </c>
    </row>
    <row r="199" spans="1:16" hidden="1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>
        <f t="shared" si="3"/>
        <v>0</v>
      </c>
      <c r="M199" t="s">
        <v>4277</v>
      </c>
      <c r="N199" t="s">
        <v>4279</v>
      </c>
      <c r="O199" s="11">
        <v>1107.55</v>
      </c>
      <c r="P199" s="9">
        <f>DecodeLabs[[#This Row],[Abandoned Cart]]*DecodeLabs[[#This Row],[UnitPrice]]</f>
        <v>0</v>
      </c>
    </row>
    <row r="200" spans="1:16" hidden="1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9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>
        <f t="shared" si="3"/>
        <v>4</v>
      </c>
      <c r="M200" t="s">
        <v>4275</v>
      </c>
      <c r="N200" t="s">
        <v>4279</v>
      </c>
      <c r="O200" s="11">
        <v>1361.2</v>
      </c>
      <c r="P200" s="9">
        <f>DecodeLabs[[#This Row],[Abandoned Cart]]*DecodeLabs[[#This Row],[UnitPrice]]</f>
        <v>1361.2</v>
      </c>
    </row>
    <row r="201" spans="1:16" hidden="1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9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>
        <f t="shared" si="3"/>
        <v>4</v>
      </c>
      <c r="M201" t="s">
        <v>4277</v>
      </c>
      <c r="N201" t="s">
        <v>4282</v>
      </c>
      <c r="O201" s="11">
        <v>625</v>
      </c>
      <c r="P201" s="9">
        <f>DecodeLabs[[#This Row],[Abandoned Cart]]*DecodeLabs[[#This Row],[UnitPrice]]</f>
        <v>2500</v>
      </c>
    </row>
    <row r="202" spans="1:16" hidden="1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9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>
        <f t="shared" si="3"/>
        <v>4</v>
      </c>
      <c r="M202" t="s">
        <v>4275</v>
      </c>
      <c r="N202" t="s">
        <v>4282</v>
      </c>
      <c r="O202" s="11">
        <v>2166.3000000000002</v>
      </c>
      <c r="P202" s="9">
        <f>DecodeLabs[[#This Row],[Abandoned Cart]]*DecodeLabs[[#This Row],[UnitPrice]]</f>
        <v>1733.04</v>
      </c>
    </row>
    <row r="203" spans="1:16" hidden="1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9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>
        <f t="shared" si="3"/>
        <v>2</v>
      </c>
      <c r="M203" t="s">
        <v>4275</v>
      </c>
      <c r="N203" t="s">
        <v>4281</v>
      </c>
      <c r="O203" s="11">
        <v>1349.8</v>
      </c>
      <c r="P203" s="9">
        <f>DecodeLabs[[#This Row],[Abandoned Cart]]*DecodeLabs[[#This Row],[UnitPrice]]</f>
        <v>1349.8</v>
      </c>
    </row>
    <row r="204" spans="1:16" hidden="1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9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>
        <f t="shared" si="3"/>
        <v>0</v>
      </c>
      <c r="M204" t="s">
        <v>4276</v>
      </c>
      <c r="N204" t="s">
        <v>4280</v>
      </c>
      <c r="O204" s="11">
        <v>761.93999999999994</v>
      </c>
      <c r="P204" s="9">
        <f>DecodeLabs[[#This Row],[Abandoned Cart]]*DecodeLabs[[#This Row],[UnitPrice]]</f>
        <v>0</v>
      </c>
    </row>
    <row r="205" spans="1:16" hidden="1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9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>
        <f t="shared" si="3"/>
        <v>2</v>
      </c>
      <c r="M205" t="s">
        <v>4275</v>
      </c>
      <c r="N205" t="s">
        <v>4278</v>
      </c>
      <c r="O205" s="11">
        <v>1070.52</v>
      </c>
      <c r="P205" s="9">
        <f>DecodeLabs[[#This Row],[Abandoned Cart]]*DecodeLabs[[#This Row],[UnitPrice]]</f>
        <v>713.68</v>
      </c>
    </row>
    <row r="206" spans="1:16" hidden="1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9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>
        <f t="shared" si="3"/>
        <v>5</v>
      </c>
      <c r="M206" t="s">
        <v>4276</v>
      </c>
      <c r="N206" t="s">
        <v>4281</v>
      </c>
      <c r="O206" s="11">
        <v>1654.84</v>
      </c>
      <c r="P206" s="9">
        <f>DecodeLabs[[#This Row],[Abandoned Cart]]*DecodeLabs[[#This Row],[UnitPrice]]</f>
        <v>2068.5499999999997</v>
      </c>
    </row>
    <row r="207" spans="1:16" hidden="1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9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>
        <f t="shared" si="3"/>
        <v>0</v>
      </c>
      <c r="M207" t="s">
        <v>4283</v>
      </c>
      <c r="N207" t="s">
        <v>4280</v>
      </c>
      <c r="O207" s="11">
        <v>442.17</v>
      </c>
      <c r="P207" s="9">
        <f>DecodeLabs[[#This Row],[Abandoned Cart]]*DecodeLabs[[#This Row],[UnitPrice]]</f>
        <v>0</v>
      </c>
    </row>
    <row r="208" spans="1:16" hidden="1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9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>
        <f t="shared" si="3"/>
        <v>4</v>
      </c>
      <c r="M208" t="s">
        <v>4277</v>
      </c>
      <c r="N208" t="s">
        <v>4280</v>
      </c>
      <c r="O208" s="11">
        <v>916.4</v>
      </c>
      <c r="P208" s="9">
        <f>DecodeLabs[[#This Row],[Abandoned Cart]]*DecodeLabs[[#This Row],[UnitPrice]]</f>
        <v>916.4</v>
      </c>
    </row>
    <row r="209" spans="1:16" hidden="1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>
        <f t="shared" si="3"/>
        <v>2</v>
      </c>
      <c r="M209" t="s">
        <v>4283</v>
      </c>
      <c r="N209" t="s">
        <v>4282</v>
      </c>
      <c r="O209" s="11">
        <v>121.96</v>
      </c>
      <c r="P209" s="9">
        <f>DecodeLabs[[#This Row],[Abandoned Cart]]*DecodeLabs[[#This Row],[UnitPrice]]</f>
        <v>243.92</v>
      </c>
    </row>
    <row r="210" spans="1:16" hidden="1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9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>
        <f t="shared" si="3"/>
        <v>1</v>
      </c>
      <c r="M210" t="s">
        <v>4276</v>
      </c>
      <c r="N210" t="s">
        <v>4281</v>
      </c>
      <c r="O210" s="11">
        <v>816.64</v>
      </c>
      <c r="P210" s="9">
        <f>DecodeLabs[[#This Row],[Abandoned Cart]]*DecodeLabs[[#This Row],[UnitPrice]]</f>
        <v>408.32</v>
      </c>
    </row>
    <row r="211" spans="1:16" hidden="1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9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>
        <f t="shared" si="3"/>
        <v>4</v>
      </c>
      <c r="M211" t="s">
        <v>4275</v>
      </c>
      <c r="N211" t="s">
        <v>4282</v>
      </c>
      <c r="O211" s="11">
        <v>939.85</v>
      </c>
      <c r="P211" s="9">
        <f>DecodeLabs[[#This Row],[Abandoned Cart]]*DecodeLabs[[#This Row],[UnitPrice]]</f>
        <v>751.88</v>
      </c>
    </row>
    <row r="212" spans="1:16" hidden="1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9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>
        <f t="shared" si="3"/>
        <v>4</v>
      </c>
      <c r="M212" t="s">
        <v>4276</v>
      </c>
      <c r="N212" t="s">
        <v>4281</v>
      </c>
      <c r="O212" s="11">
        <v>1075.44</v>
      </c>
      <c r="P212" s="9">
        <f>DecodeLabs[[#This Row],[Abandoned Cart]]*DecodeLabs[[#This Row],[UnitPrice]]</f>
        <v>1433.92</v>
      </c>
    </row>
    <row r="213" spans="1:16" hidden="1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9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>
        <f t="shared" si="3"/>
        <v>4</v>
      </c>
      <c r="M213" t="s">
        <v>4276</v>
      </c>
      <c r="N213" t="s">
        <v>4280</v>
      </c>
      <c r="O213" s="11">
        <v>580.74</v>
      </c>
      <c r="P213" s="9">
        <f>DecodeLabs[[#This Row],[Abandoned Cart]]*DecodeLabs[[#This Row],[UnitPrice]]</f>
        <v>774.32</v>
      </c>
    </row>
    <row r="214" spans="1:16" hidden="1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9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>
        <f t="shared" si="3"/>
        <v>5</v>
      </c>
      <c r="M214" t="s">
        <v>4277</v>
      </c>
      <c r="N214" t="s">
        <v>4280</v>
      </c>
      <c r="O214" s="11">
        <v>265.38</v>
      </c>
      <c r="P214" s="9">
        <f>DecodeLabs[[#This Row],[Abandoned Cart]]*DecodeLabs[[#This Row],[UnitPrice]]</f>
        <v>1326.9</v>
      </c>
    </row>
    <row r="215" spans="1:16" hidden="1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9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>
        <f t="shared" si="3"/>
        <v>5</v>
      </c>
      <c r="M215" t="s">
        <v>4275</v>
      </c>
      <c r="N215" t="s">
        <v>4280</v>
      </c>
      <c r="O215" s="11">
        <v>634.4</v>
      </c>
      <c r="P215" s="9">
        <f>DecodeLabs[[#This Row],[Abandoned Cart]]*DecodeLabs[[#This Row],[UnitPrice]]</f>
        <v>3172</v>
      </c>
    </row>
    <row r="216" spans="1:16" hidden="1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9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>
        <f t="shared" si="3"/>
        <v>1</v>
      </c>
      <c r="M216" t="s">
        <v>4283</v>
      </c>
      <c r="N216" t="s">
        <v>4281</v>
      </c>
      <c r="O216" s="11">
        <v>1222.8800000000001</v>
      </c>
      <c r="P216" s="9">
        <f>DecodeLabs[[#This Row],[Abandoned Cart]]*DecodeLabs[[#This Row],[UnitPrice]]</f>
        <v>305.72000000000003</v>
      </c>
    </row>
    <row r="217" spans="1:16" hidden="1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9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>
        <f t="shared" si="3"/>
        <v>4</v>
      </c>
      <c r="M217" t="s">
        <v>4276</v>
      </c>
      <c r="N217" t="s">
        <v>4281</v>
      </c>
      <c r="O217" s="11">
        <v>303.60000000000002</v>
      </c>
      <c r="P217" s="9">
        <f>DecodeLabs[[#This Row],[Abandoned Cart]]*DecodeLabs[[#This Row],[UnitPrice]]</f>
        <v>1214.4000000000001</v>
      </c>
    </row>
    <row r="218" spans="1:16" hidden="1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9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>
        <f t="shared" si="3"/>
        <v>4</v>
      </c>
      <c r="M218" t="s">
        <v>4277</v>
      </c>
      <c r="N218" t="s">
        <v>4282</v>
      </c>
      <c r="O218" s="11">
        <v>1984</v>
      </c>
      <c r="P218" s="9">
        <f>DecodeLabs[[#This Row],[Abandoned Cart]]*DecodeLabs[[#This Row],[UnitPrice]]</f>
        <v>1984</v>
      </c>
    </row>
    <row r="219" spans="1:16" hidden="1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>
        <f t="shared" si="3"/>
        <v>5</v>
      </c>
      <c r="M219" t="s">
        <v>4283</v>
      </c>
      <c r="N219" t="s">
        <v>4282</v>
      </c>
      <c r="O219" s="11">
        <v>1286.04</v>
      </c>
      <c r="P219" s="9">
        <f>DecodeLabs[[#This Row],[Abandoned Cart]]*DecodeLabs[[#This Row],[UnitPrice]]</f>
        <v>1607.55</v>
      </c>
    </row>
    <row r="220" spans="1:16" hidden="1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9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>
        <f t="shared" si="3"/>
        <v>3</v>
      </c>
      <c r="M220" t="s">
        <v>4275</v>
      </c>
      <c r="N220" t="s">
        <v>4278</v>
      </c>
      <c r="O220" s="11">
        <v>337.38</v>
      </c>
      <c r="P220" s="9">
        <f>DecodeLabs[[#This Row],[Abandoned Cart]]*DecodeLabs[[#This Row],[UnitPrice]]</f>
        <v>337.38</v>
      </c>
    </row>
    <row r="221" spans="1:16" hidden="1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9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>
        <f t="shared" si="3"/>
        <v>1</v>
      </c>
      <c r="M221" t="s">
        <v>4275</v>
      </c>
      <c r="N221" t="s">
        <v>4280</v>
      </c>
      <c r="O221" s="11">
        <v>309.85000000000002</v>
      </c>
      <c r="P221" s="9">
        <f>DecodeLabs[[#This Row],[Abandoned Cart]]*DecodeLabs[[#This Row],[UnitPrice]]</f>
        <v>61.97</v>
      </c>
    </row>
    <row r="222" spans="1:16" hidden="1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9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>
        <f t="shared" si="3"/>
        <v>4</v>
      </c>
      <c r="M222" t="s">
        <v>4275</v>
      </c>
      <c r="N222" t="s">
        <v>4279</v>
      </c>
      <c r="O222" s="11">
        <v>746.34</v>
      </c>
      <c r="P222" s="9">
        <f>DecodeLabs[[#This Row],[Abandoned Cart]]*DecodeLabs[[#This Row],[UnitPrice]]</f>
        <v>1492.68</v>
      </c>
    </row>
    <row r="223" spans="1:16" hidden="1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9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>
        <f t="shared" si="3"/>
        <v>1</v>
      </c>
      <c r="M223" t="s">
        <v>4275</v>
      </c>
      <c r="N223" t="s">
        <v>4282</v>
      </c>
      <c r="O223" s="11">
        <v>3196.85</v>
      </c>
      <c r="P223" s="9">
        <f>DecodeLabs[[#This Row],[Abandoned Cart]]*DecodeLabs[[#This Row],[UnitPrice]]</f>
        <v>639.37</v>
      </c>
    </row>
    <row r="224" spans="1:16" hidden="1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9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>
        <f t="shared" si="3"/>
        <v>4</v>
      </c>
      <c r="M224" t="s">
        <v>4283</v>
      </c>
      <c r="N224" t="s">
        <v>4278</v>
      </c>
      <c r="O224" s="11">
        <v>2773.44</v>
      </c>
      <c r="P224" s="9">
        <f>DecodeLabs[[#This Row],[Abandoned Cart]]*DecodeLabs[[#This Row],[UnitPrice]]</f>
        <v>2773.44</v>
      </c>
    </row>
    <row r="225" spans="1:16" hidden="1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9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>
        <f t="shared" si="3"/>
        <v>5</v>
      </c>
      <c r="M225" t="s">
        <v>4275</v>
      </c>
      <c r="N225" t="s">
        <v>4278</v>
      </c>
      <c r="O225" s="11">
        <v>2771.64</v>
      </c>
      <c r="P225" s="9">
        <f>DecodeLabs[[#This Row],[Abandoned Cart]]*DecodeLabs[[#This Row],[UnitPrice]]</f>
        <v>3464.5499999999997</v>
      </c>
    </row>
    <row r="226" spans="1:16" hidden="1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9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>
        <f t="shared" si="3"/>
        <v>5</v>
      </c>
      <c r="M226" t="s">
        <v>4275</v>
      </c>
      <c r="N226" t="s">
        <v>4279</v>
      </c>
      <c r="O226" s="11">
        <v>365.84</v>
      </c>
      <c r="P226" s="9">
        <f>DecodeLabs[[#This Row],[Abandoned Cart]]*DecodeLabs[[#This Row],[UnitPrice]]</f>
        <v>457.29999999999995</v>
      </c>
    </row>
    <row r="227" spans="1:16" hidden="1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9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>
        <f t="shared" si="3"/>
        <v>5</v>
      </c>
      <c r="M227" t="s">
        <v>4275</v>
      </c>
      <c r="N227" t="s">
        <v>4282</v>
      </c>
      <c r="O227" s="11">
        <v>821.87999999999988</v>
      </c>
      <c r="P227" s="9">
        <f>DecodeLabs[[#This Row],[Abandoned Cart]]*DecodeLabs[[#This Row],[UnitPrice]]</f>
        <v>1369.8</v>
      </c>
    </row>
    <row r="228" spans="1:16" hidden="1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9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>
        <f t="shared" si="3"/>
        <v>5</v>
      </c>
      <c r="M228" t="s">
        <v>4283</v>
      </c>
      <c r="N228" t="s">
        <v>4278</v>
      </c>
      <c r="O228" s="11">
        <v>1764.15</v>
      </c>
      <c r="P228" s="9">
        <f>DecodeLabs[[#This Row],[Abandoned Cart]]*DecodeLabs[[#This Row],[UnitPrice]]</f>
        <v>2940.25</v>
      </c>
    </row>
    <row r="229" spans="1:16" hidden="1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>
        <f t="shared" si="3"/>
        <v>2</v>
      </c>
      <c r="M229" t="s">
        <v>4276</v>
      </c>
      <c r="N229" t="s">
        <v>4281</v>
      </c>
      <c r="O229" s="11">
        <v>730.34</v>
      </c>
      <c r="P229" s="9">
        <f>DecodeLabs[[#This Row],[Abandoned Cart]]*DecodeLabs[[#This Row],[UnitPrice]]</f>
        <v>730.34</v>
      </c>
    </row>
    <row r="230" spans="1:16" hidden="1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9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>
        <f t="shared" si="3"/>
        <v>4</v>
      </c>
      <c r="M230" t="s">
        <v>4283</v>
      </c>
      <c r="N230" t="s">
        <v>4278</v>
      </c>
      <c r="O230" s="11">
        <v>1543.68</v>
      </c>
      <c r="P230" s="9">
        <f>DecodeLabs[[#This Row],[Abandoned Cart]]*DecodeLabs[[#This Row],[UnitPrice]]</f>
        <v>1543.68</v>
      </c>
    </row>
    <row r="231" spans="1:16" hidden="1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9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>
        <f t="shared" si="3"/>
        <v>2</v>
      </c>
      <c r="M231" t="s">
        <v>4277</v>
      </c>
      <c r="N231" t="s">
        <v>4281</v>
      </c>
      <c r="O231" s="11">
        <v>562.61</v>
      </c>
      <c r="P231" s="9">
        <f>DecodeLabs[[#This Row],[Abandoned Cart]]*DecodeLabs[[#This Row],[UnitPrice]]</f>
        <v>1125.22</v>
      </c>
    </row>
    <row r="232" spans="1:16" hidden="1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9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>
        <f t="shared" si="3"/>
        <v>2</v>
      </c>
      <c r="M232" t="s">
        <v>4277</v>
      </c>
      <c r="N232" t="s">
        <v>4280</v>
      </c>
      <c r="O232" s="11">
        <v>247.64</v>
      </c>
      <c r="P232" s="9">
        <f>DecodeLabs[[#This Row],[Abandoned Cart]]*DecodeLabs[[#This Row],[UnitPrice]]</f>
        <v>123.82</v>
      </c>
    </row>
    <row r="233" spans="1:16" hidden="1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9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>
        <f t="shared" si="3"/>
        <v>5</v>
      </c>
      <c r="M233" t="s">
        <v>4276</v>
      </c>
      <c r="N233" t="s">
        <v>4278</v>
      </c>
      <c r="O233" s="11">
        <v>167.6</v>
      </c>
      <c r="P233" s="9">
        <f>DecodeLabs[[#This Row],[Abandoned Cart]]*DecodeLabs[[#This Row],[UnitPrice]]</f>
        <v>209.5</v>
      </c>
    </row>
    <row r="234" spans="1:16" hidden="1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9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>
        <f t="shared" si="3"/>
        <v>4</v>
      </c>
      <c r="M234" t="s">
        <v>4277</v>
      </c>
      <c r="N234" t="s">
        <v>4282</v>
      </c>
      <c r="O234" s="11">
        <v>1777.76</v>
      </c>
      <c r="P234" s="9">
        <f>DecodeLabs[[#This Row],[Abandoned Cart]]*DecodeLabs[[#This Row],[UnitPrice]]</f>
        <v>1777.76</v>
      </c>
    </row>
    <row r="235" spans="1:16" hidden="1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9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>
        <f t="shared" si="3"/>
        <v>0</v>
      </c>
      <c r="M235" t="s">
        <v>4277</v>
      </c>
      <c r="N235" t="s">
        <v>4278</v>
      </c>
      <c r="O235" s="11">
        <v>933.99</v>
      </c>
      <c r="P235" s="9">
        <f>DecodeLabs[[#This Row],[Abandoned Cart]]*DecodeLabs[[#This Row],[UnitPrice]]</f>
        <v>0</v>
      </c>
    </row>
    <row r="236" spans="1:16" hidden="1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9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>
        <f t="shared" si="3"/>
        <v>3</v>
      </c>
      <c r="M236" t="s">
        <v>4275</v>
      </c>
      <c r="N236" t="s">
        <v>4282</v>
      </c>
      <c r="O236" s="11">
        <v>945.64</v>
      </c>
      <c r="P236" s="9">
        <f>DecodeLabs[[#This Row],[Abandoned Cart]]*DecodeLabs[[#This Row],[UnitPrice]]</f>
        <v>709.23</v>
      </c>
    </row>
    <row r="237" spans="1:16" hidden="1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9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>
        <f t="shared" si="3"/>
        <v>1</v>
      </c>
      <c r="M237" t="s">
        <v>4277</v>
      </c>
      <c r="N237" t="s">
        <v>4282</v>
      </c>
      <c r="O237" s="11">
        <v>65.45</v>
      </c>
      <c r="P237" s="9">
        <f>DecodeLabs[[#This Row],[Abandoned Cart]]*DecodeLabs[[#This Row],[UnitPrice]]</f>
        <v>65.45</v>
      </c>
    </row>
    <row r="238" spans="1:16" hidden="1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9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>
        <f t="shared" si="3"/>
        <v>2</v>
      </c>
      <c r="M238" t="s">
        <v>4277</v>
      </c>
      <c r="N238" t="s">
        <v>4280</v>
      </c>
      <c r="O238" s="11">
        <v>318.81</v>
      </c>
      <c r="P238" s="9">
        <f>DecodeLabs[[#This Row],[Abandoned Cart]]*DecodeLabs[[#This Row],[UnitPrice]]</f>
        <v>637.62</v>
      </c>
    </row>
    <row r="239" spans="1:16" hidden="1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>
        <f t="shared" si="3"/>
        <v>2</v>
      </c>
      <c r="M239" t="s">
        <v>4276</v>
      </c>
      <c r="N239" t="s">
        <v>4281</v>
      </c>
      <c r="O239" s="11">
        <v>1751.16</v>
      </c>
      <c r="P239" s="9">
        <f>DecodeLabs[[#This Row],[Abandoned Cart]]*DecodeLabs[[#This Row],[UnitPrice]]</f>
        <v>1167.44</v>
      </c>
    </row>
    <row r="240" spans="1:16" hidden="1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9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>
        <f t="shared" si="3"/>
        <v>2</v>
      </c>
      <c r="M240" t="s">
        <v>4277</v>
      </c>
      <c r="N240" t="s">
        <v>4282</v>
      </c>
      <c r="O240" s="11">
        <v>1537.28</v>
      </c>
      <c r="P240" s="9">
        <f>DecodeLabs[[#This Row],[Abandoned Cart]]*DecodeLabs[[#This Row],[UnitPrice]]</f>
        <v>768.64</v>
      </c>
    </row>
    <row r="241" spans="1:16" hidden="1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9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>
        <f t="shared" si="3"/>
        <v>3</v>
      </c>
      <c r="M241" t="s">
        <v>4276</v>
      </c>
      <c r="N241" t="s">
        <v>4280</v>
      </c>
      <c r="O241" s="11">
        <v>1616.22</v>
      </c>
      <c r="P241" s="9">
        <f>DecodeLabs[[#This Row],[Abandoned Cart]]*DecodeLabs[[#This Row],[UnitPrice]]</f>
        <v>1616.22</v>
      </c>
    </row>
    <row r="242" spans="1:16" hidden="1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9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>
        <f t="shared" si="3"/>
        <v>1</v>
      </c>
      <c r="M242" t="s">
        <v>4276</v>
      </c>
      <c r="N242" t="s">
        <v>4278</v>
      </c>
      <c r="O242" s="11">
        <v>17.239999999999998</v>
      </c>
      <c r="P242" s="9">
        <f>DecodeLabs[[#This Row],[Abandoned Cart]]*DecodeLabs[[#This Row],[UnitPrice]]</f>
        <v>17.239999999999998</v>
      </c>
    </row>
    <row r="243" spans="1:16" hidden="1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9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>
        <f t="shared" si="3"/>
        <v>1</v>
      </c>
      <c r="M243" t="s">
        <v>4275</v>
      </c>
      <c r="N243" t="s">
        <v>4280</v>
      </c>
      <c r="O243" s="11">
        <v>3078.35</v>
      </c>
      <c r="P243" s="9">
        <f>DecodeLabs[[#This Row],[Abandoned Cart]]*DecodeLabs[[#This Row],[UnitPrice]]</f>
        <v>615.66999999999996</v>
      </c>
    </row>
    <row r="244" spans="1:16" hidden="1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9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>
        <f t="shared" si="3"/>
        <v>2</v>
      </c>
      <c r="M244" t="s">
        <v>4275</v>
      </c>
      <c r="N244" t="s">
        <v>4279</v>
      </c>
      <c r="O244" s="11">
        <v>438.2</v>
      </c>
      <c r="P244" s="9">
        <f>DecodeLabs[[#This Row],[Abandoned Cart]]*DecodeLabs[[#This Row],[UnitPrice]]</f>
        <v>438.2</v>
      </c>
    </row>
    <row r="245" spans="1:16" hidden="1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9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>
        <f t="shared" si="3"/>
        <v>5</v>
      </c>
      <c r="M245" t="s">
        <v>4276</v>
      </c>
      <c r="N245" t="s">
        <v>4282</v>
      </c>
      <c r="O245" s="11">
        <v>289.32</v>
      </c>
      <c r="P245" s="9">
        <f>DecodeLabs[[#This Row],[Abandoned Cart]]*DecodeLabs[[#This Row],[UnitPrice]]</f>
        <v>723.3</v>
      </c>
    </row>
    <row r="246" spans="1:16" hidden="1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9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>
        <f t="shared" si="3"/>
        <v>2</v>
      </c>
      <c r="M246" t="s">
        <v>4277</v>
      </c>
      <c r="N246" t="s">
        <v>4281</v>
      </c>
      <c r="O246" s="11">
        <v>635.54</v>
      </c>
      <c r="P246" s="9">
        <f>DecodeLabs[[#This Row],[Abandoned Cart]]*DecodeLabs[[#This Row],[UnitPrice]]</f>
        <v>635.54</v>
      </c>
    </row>
    <row r="247" spans="1:16" hidden="1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9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>
        <f t="shared" si="3"/>
        <v>0</v>
      </c>
      <c r="M247" t="s">
        <v>4283</v>
      </c>
      <c r="N247" t="s">
        <v>4281</v>
      </c>
      <c r="O247" s="11">
        <v>223.3</v>
      </c>
      <c r="P247" s="9">
        <f>DecodeLabs[[#This Row],[Abandoned Cart]]*DecodeLabs[[#This Row],[UnitPrice]]</f>
        <v>0</v>
      </c>
    </row>
    <row r="248" spans="1:16" hidden="1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9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>
        <f t="shared" si="3"/>
        <v>0</v>
      </c>
      <c r="M248" t="s">
        <v>4277</v>
      </c>
      <c r="N248" t="s">
        <v>4278</v>
      </c>
      <c r="O248" s="11">
        <v>684.22</v>
      </c>
      <c r="P248" s="9">
        <f>DecodeLabs[[#This Row],[Abandoned Cart]]*DecodeLabs[[#This Row],[UnitPrice]]</f>
        <v>0</v>
      </c>
    </row>
    <row r="249" spans="1:16" hidden="1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>
        <f t="shared" si="3"/>
        <v>2</v>
      </c>
      <c r="M249" t="s">
        <v>4283</v>
      </c>
      <c r="N249" t="s">
        <v>4280</v>
      </c>
      <c r="O249" s="11">
        <v>441.8</v>
      </c>
      <c r="P249" s="9">
        <f>DecodeLabs[[#This Row],[Abandoned Cart]]*DecodeLabs[[#This Row],[UnitPrice]]</f>
        <v>441.8</v>
      </c>
    </row>
    <row r="250" spans="1:16" hidden="1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9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>
        <f t="shared" si="3"/>
        <v>5</v>
      </c>
      <c r="M250" t="s">
        <v>4276</v>
      </c>
      <c r="N250" t="s">
        <v>4279</v>
      </c>
      <c r="O250" s="11">
        <v>670.54</v>
      </c>
      <c r="P250" s="9">
        <f>DecodeLabs[[#This Row],[Abandoned Cart]]*DecodeLabs[[#This Row],[UnitPrice]]</f>
        <v>3352.7</v>
      </c>
    </row>
    <row r="251" spans="1:16" hidden="1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9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>
        <f t="shared" si="3"/>
        <v>4</v>
      </c>
      <c r="M251" t="s">
        <v>4276</v>
      </c>
      <c r="N251" t="s">
        <v>4279</v>
      </c>
      <c r="O251" s="11">
        <v>546.19000000000005</v>
      </c>
      <c r="P251" s="9">
        <f>DecodeLabs[[#This Row],[Abandoned Cart]]*DecodeLabs[[#This Row],[UnitPrice]]</f>
        <v>2184.7600000000002</v>
      </c>
    </row>
    <row r="252" spans="1:16" hidden="1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9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>
        <f t="shared" si="3"/>
        <v>5</v>
      </c>
      <c r="M252" t="s">
        <v>4275</v>
      </c>
      <c r="N252" t="s">
        <v>4280</v>
      </c>
      <c r="O252" s="11">
        <v>128.85</v>
      </c>
      <c r="P252" s="9">
        <f>DecodeLabs[[#This Row],[Abandoned Cart]]*DecodeLabs[[#This Row],[UnitPrice]]</f>
        <v>214.75</v>
      </c>
    </row>
    <row r="253" spans="1:16" hidden="1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9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>
        <f t="shared" si="3"/>
        <v>5</v>
      </c>
      <c r="M253" t="s">
        <v>4283</v>
      </c>
      <c r="N253" t="s">
        <v>4280</v>
      </c>
      <c r="O253" s="11">
        <v>58.76</v>
      </c>
      <c r="P253" s="9">
        <f>DecodeLabs[[#This Row],[Abandoned Cart]]*DecodeLabs[[#This Row],[UnitPrice]]</f>
        <v>73.45</v>
      </c>
    </row>
    <row r="254" spans="1:16" hidden="1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9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>
        <f t="shared" si="3"/>
        <v>1</v>
      </c>
      <c r="M254" t="s">
        <v>4276</v>
      </c>
      <c r="N254" t="s">
        <v>4281</v>
      </c>
      <c r="O254" s="11">
        <v>2673.44</v>
      </c>
      <c r="P254" s="9">
        <f>DecodeLabs[[#This Row],[Abandoned Cart]]*DecodeLabs[[#This Row],[UnitPrice]]</f>
        <v>668.36</v>
      </c>
    </row>
    <row r="255" spans="1:16" hidden="1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9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>
        <f t="shared" si="3"/>
        <v>3</v>
      </c>
      <c r="M255" t="s">
        <v>4276</v>
      </c>
      <c r="N255" t="s">
        <v>4278</v>
      </c>
      <c r="O255" s="11">
        <v>1654.96</v>
      </c>
      <c r="P255" s="9">
        <f>DecodeLabs[[#This Row],[Abandoned Cart]]*DecodeLabs[[#This Row],[UnitPrice]]</f>
        <v>1241.22</v>
      </c>
    </row>
    <row r="256" spans="1:16" hidden="1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9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>
        <f t="shared" si="3"/>
        <v>2</v>
      </c>
      <c r="M256" t="s">
        <v>4283</v>
      </c>
      <c r="N256" t="s">
        <v>4278</v>
      </c>
      <c r="O256" s="11">
        <v>789.56999999999994</v>
      </c>
      <c r="P256" s="9">
        <f>DecodeLabs[[#This Row],[Abandoned Cart]]*DecodeLabs[[#This Row],[UnitPrice]]</f>
        <v>526.38</v>
      </c>
    </row>
    <row r="257" spans="1:16" hidden="1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9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>
        <f t="shared" si="3"/>
        <v>1</v>
      </c>
      <c r="M257" t="s">
        <v>4275</v>
      </c>
      <c r="N257" t="s">
        <v>4282</v>
      </c>
      <c r="O257" s="11">
        <v>263.95999999999998</v>
      </c>
      <c r="P257" s="9">
        <f>DecodeLabs[[#This Row],[Abandoned Cart]]*DecodeLabs[[#This Row],[UnitPrice]]</f>
        <v>263.95999999999998</v>
      </c>
    </row>
    <row r="258" spans="1:16" hidden="1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9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>
        <f t="shared" ref="L258:L321" si="4">K258-E258</f>
        <v>5</v>
      </c>
      <c r="M258" t="s">
        <v>4277</v>
      </c>
      <c r="N258" t="s">
        <v>4278</v>
      </c>
      <c r="O258" s="11">
        <v>379.05</v>
      </c>
      <c r="P258" s="9">
        <f>DecodeLabs[[#This Row],[Abandoned Cart]]*DecodeLabs[[#This Row],[UnitPrice]]</f>
        <v>379.05</v>
      </c>
    </row>
    <row r="259" spans="1:16" hidden="1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>
        <f t="shared" si="4"/>
        <v>4</v>
      </c>
      <c r="M259" t="s">
        <v>4275</v>
      </c>
      <c r="N259" t="s">
        <v>4279</v>
      </c>
      <c r="O259" s="11">
        <v>406.22</v>
      </c>
      <c r="P259" s="9">
        <f>DecodeLabs[[#This Row],[Abandoned Cart]]*DecodeLabs[[#This Row],[UnitPrice]]</f>
        <v>1624.88</v>
      </c>
    </row>
    <row r="260" spans="1:16" hidden="1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9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>
        <f t="shared" si="4"/>
        <v>0</v>
      </c>
      <c r="M260" t="s">
        <v>4276</v>
      </c>
      <c r="N260" t="s">
        <v>4279</v>
      </c>
      <c r="O260" s="11">
        <v>206.82</v>
      </c>
      <c r="P260" s="9">
        <f>DecodeLabs[[#This Row],[Abandoned Cart]]*DecodeLabs[[#This Row],[UnitPrice]]</f>
        <v>0</v>
      </c>
    </row>
    <row r="261" spans="1:16" hidden="1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9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>
        <f t="shared" si="4"/>
        <v>5</v>
      </c>
      <c r="M261" t="s">
        <v>4275</v>
      </c>
      <c r="N261" t="s">
        <v>4278</v>
      </c>
      <c r="O261" s="11">
        <v>1740.48</v>
      </c>
      <c r="P261" s="9">
        <f>DecodeLabs[[#This Row],[Abandoned Cart]]*DecodeLabs[[#This Row],[UnitPrice]]</f>
        <v>2175.6</v>
      </c>
    </row>
    <row r="262" spans="1:16" hidden="1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9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>
        <f t="shared" si="4"/>
        <v>1</v>
      </c>
      <c r="M262" t="s">
        <v>4283</v>
      </c>
      <c r="N262" t="s">
        <v>4282</v>
      </c>
      <c r="O262" s="11">
        <v>815.58</v>
      </c>
      <c r="P262" s="9">
        <f>DecodeLabs[[#This Row],[Abandoned Cart]]*DecodeLabs[[#This Row],[UnitPrice]]</f>
        <v>407.79</v>
      </c>
    </row>
    <row r="263" spans="1:16" hidden="1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9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>
        <f t="shared" si="4"/>
        <v>4</v>
      </c>
      <c r="M263" t="s">
        <v>4275</v>
      </c>
      <c r="N263" t="s">
        <v>4280</v>
      </c>
      <c r="O263" s="11">
        <v>868.25</v>
      </c>
      <c r="P263" s="9">
        <f>DecodeLabs[[#This Row],[Abandoned Cart]]*DecodeLabs[[#This Row],[UnitPrice]]</f>
        <v>694.6</v>
      </c>
    </row>
    <row r="264" spans="1:16" hidden="1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9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>
        <f t="shared" si="4"/>
        <v>1</v>
      </c>
      <c r="M264" t="s">
        <v>4277</v>
      </c>
      <c r="N264" t="s">
        <v>4279</v>
      </c>
      <c r="O264" s="11">
        <v>996.28</v>
      </c>
      <c r="P264" s="9">
        <f>DecodeLabs[[#This Row],[Abandoned Cart]]*DecodeLabs[[#This Row],[UnitPrice]]</f>
        <v>249.07</v>
      </c>
    </row>
    <row r="265" spans="1:16" hidden="1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9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>
        <f t="shared" si="4"/>
        <v>0</v>
      </c>
      <c r="M265" t="s">
        <v>4277</v>
      </c>
      <c r="N265" t="s">
        <v>4282</v>
      </c>
      <c r="O265" s="11">
        <v>1739.4</v>
      </c>
      <c r="P265" s="9">
        <f>DecodeLabs[[#This Row],[Abandoned Cart]]*DecodeLabs[[#This Row],[UnitPrice]]</f>
        <v>0</v>
      </c>
    </row>
    <row r="266" spans="1:16" hidden="1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9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>
        <f t="shared" si="4"/>
        <v>4</v>
      </c>
      <c r="M266" t="s">
        <v>4276</v>
      </c>
      <c r="N266" t="s">
        <v>4282</v>
      </c>
      <c r="O266" s="11">
        <v>436.77</v>
      </c>
      <c r="P266" s="9">
        <f>DecodeLabs[[#This Row],[Abandoned Cart]]*DecodeLabs[[#This Row],[UnitPrice]]</f>
        <v>1747.08</v>
      </c>
    </row>
    <row r="267" spans="1:16" hidden="1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9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>
        <f t="shared" si="4"/>
        <v>3</v>
      </c>
      <c r="M267" t="s">
        <v>4275</v>
      </c>
      <c r="N267" t="s">
        <v>4282</v>
      </c>
      <c r="O267" s="11">
        <v>572.13</v>
      </c>
      <c r="P267" s="9">
        <f>DecodeLabs[[#This Row],[Abandoned Cart]]*DecodeLabs[[#This Row],[UnitPrice]]</f>
        <v>1716.3899999999999</v>
      </c>
    </row>
    <row r="268" spans="1:16" hidden="1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9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>
        <f t="shared" si="4"/>
        <v>2</v>
      </c>
      <c r="M268" t="s">
        <v>4276</v>
      </c>
      <c r="N268" t="s">
        <v>4279</v>
      </c>
      <c r="O268" s="11">
        <v>2332.2800000000002</v>
      </c>
      <c r="P268" s="9">
        <f>DecodeLabs[[#This Row],[Abandoned Cart]]*DecodeLabs[[#This Row],[UnitPrice]]</f>
        <v>1166.1400000000001</v>
      </c>
    </row>
    <row r="269" spans="1:16" hidden="1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>
        <f t="shared" si="4"/>
        <v>4</v>
      </c>
      <c r="M269" t="s">
        <v>4283</v>
      </c>
      <c r="N269" t="s">
        <v>4281</v>
      </c>
      <c r="O269" s="11">
        <v>2342.5500000000002</v>
      </c>
      <c r="P269" s="9">
        <f>DecodeLabs[[#This Row],[Abandoned Cart]]*DecodeLabs[[#This Row],[UnitPrice]]</f>
        <v>1874.04</v>
      </c>
    </row>
    <row r="270" spans="1:16" hidden="1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9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>
        <f t="shared" si="4"/>
        <v>5</v>
      </c>
      <c r="M270" t="s">
        <v>4275</v>
      </c>
      <c r="N270" t="s">
        <v>4279</v>
      </c>
      <c r="O270" s="11">
        <v>847.76</v>
      </c>
      <c r="P270" s="9">
        <f>DecodeLabs[[#This Row],[Abandoned Cart]]*DecodeLabs[[#This Row],[UnitPrice]]</f>
        <v>2119.4</v>
      </c>
    </row>
    <row r="271" spans="1:16" hidden="1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9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>
        <f t="shared" si="4"/>
        <v>3</v>
      </c>
      <c r="M271" t="s">
        <v>4276</v>
      </c>
      <c r="N271" t="s">
        <v>4282</v>
      </c>
      <c r="O271" s="11">
        <v>2654.68</v>
      </c>
      <c r="P271" s="9">
        <f>DecodeLabs[[#This Row],[Abandoned Cart]]*DecodeLabs[[#This Row],[UnitPrice]]</f>
        <v>1991.0099999999998</v>
      </c>
    </row>
    <row r="272" spans="1:16" hidden="1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9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>
        <f t="shared" si="4"/>
        <v>1</v>
      </c>
      <c r="M272" t="s">
        <v>4277</v>
      </c>
      <c r="N272" t="s">
        <v>4282</v>
      </c>
      <c r="O272" s="11">
        <v>1239.6400000000001</v>
      </c>
      <c r="P272" s="9">
        <f>DecodeLabs[[#This Row],[Abandoned Cart]]*DecodeLabs[[#This Row],[UnitPrice]]</f>
        <v>309.91000000000003</v>
      </c>
    </row>
    <row r="273" spans="1:16" hidden="1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9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>
        <f t="shared" si="4"/>
        <v>5</v>
      </c>
      <c r="M273" t="s">
        <v>4277</v>
      </c>
      <c r="N273" t="s">
        <v>4279</v>
      </c>
      <c r="O273" s="11">
        <v>542.07000000000005</v>
      </c>
      <c r="P273" s="9">
        <f>DecodeLabs[[#This Row],[Abandoned Cart]]*DecodeLabs[[#This Row],[UnitPrice]]</f>
        <v>2710.3500000000004</v>
      </c>
    </row>
    <row r="274" spans="1:16" hidden="1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9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>
        <f t="shared" si="4"/>
        <v>4</v>
      </c>
      <c r="M274" t="s">
        <v>4277</v>
      </c>
      <c r="N274" t="s">
        <v>4278</v>
      </c>
      <c r="O274" s="11">
        <v>798.64</v>
      </c>
      <c r="P274" s="9">
        <f>DecodeLabs[[#This Row],[Abandoned Cart]]*DecodeLabs[[#This Row],[UnitPrice]]</f>
        <v>1597.28</v>
      </c>
    </row>
    <row r="275" spans="1:16" hidden="1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9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>
        <f t="shared" si="4"/>
        <v>5</v>
      </c>
      <c r="M275" t="s">
        <v>4276</v>
      </c>
      <c r="N275" t="s">
        <v>4280</v>
      </c>
      <c r="O275" s="11">
        <v>476.5</v>
      </c>
      <c r="P275" s="9">
        <f>DecodeLabs[[#This Row],[Abandoned Cart]]*DecodeLabs[[#This Row],[UnitPrice]]</f>
        <v>1191.25</v>
      </c>
    </row>
    <row r="276" spans="1:16" hidden="1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9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>
        <f t="shared" si="4"/>
        <v>3</v>
      </c>
      <c r="M276" t="s">
        <v>4275</v>
      </c>
      <c r="N276" t="s">
        <v>4279</v>
      </c>
      <c r="O276" s="11">
        <v>364.8</v>
      </c>
      <c r="P276" s="9">
        <f>DecodeLabs[[#This Row],[Abandoned Cart]]*DecodeLabs[[#This Row],[UnitPrice]]</f>
        <v>547.20000000000005</v>
      </c>
    </row>
    <row r="277" spans="1:16" hidden="1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9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>
        <f t="shared" si="4"/>
        <v>2</v>
      </c>
      <c r="M277" t="s">
        <v>4275</v>
      </c>
      <c r="N277" t="s">
        <v>4282</v>
      </c>
      <c r="O277" s="11">
        <v>130.13999999999999</v>
      </c>
      <c r="P277" s="9">
        <f>DecodeLabs[[#This Row],[Abandoned Cart]]*DecodeLabs[[#This Row],[UnitPrice]]</f>
        <v>130.13999999999999</v>
      </c>
    </row>
    <row r="278" spans="1:16" hidden="1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9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>
        <f t="shared" si="4"/>
        <v>1</v>
      </c>
      <c r="M278" t="s">
        <v>4277</v>
      </c>
      <c r="N278" t="s">
        <v>4278</v>
      </c>
      <c r="O278" s="11">
        <v>1201.1400000000001</v>
      </c>
      <c r="P278" s="9">
        <f>DecodeLabs[[#This Row],[Abandoned Cart]]*DecodeLabs[[#This Row],[UnitPrice]]</f>
        <v>600.57000000000005</v>
      </c>
    </row>
    <row r="279" spans="1:16" hidden="1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>
        <f t="shared" si="4"/>
        <v>4</v>
      </c>
      <c r="M279" t="s">
        <v>4275</v>
      </c>
      <c r="N279" t="s">
        <v>4281</v>
      </c>
      <c r="O279" s="11">
        <v>454.6</v>
      </c>
      <c r="P279" s="9">
        <f>DecodeLabs[[#This Row],[Abandoned Cart]]*DecodeLabs[[#This Row],[UnitPrice]]</f>
        <v>363.68</v>
      </c>
    </row>
    <row r="280" spans="1:16" hidden="1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9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>
        <f t="shared" si="4"/>
        <v>1</v>
      </c>
      <c r="M280" t="s">
        <v>4276</v>
      </c>
      <c r="N280" t="s">
        <v>4278</v>
      </c>
      <c r="O280" s="11">
        <v>1812.3</v>
      </c>
      <c r="P280" s="9">
        <f>DecodeLabs[[#This Row],[Abandoned Cart]]*DecodeLabs[[#This Row],[UnitPrice]]</f>
        <v>362.46</v>
      </c>
    </row>
    <row r="281" spans="1:16" hidden="1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9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>
        <f t="shared" si="4"/>
        <v>4</v>
      </c>
      <c r="M281" t="s">
        <v>4277</v>
      </c>
      <c r="N281" t="s">
        <v>4280</v>
      </c>
      <c r="O281" s="11">
        <v>165.03</v>
      </c>
      <c r="P281" s="9">
        <f>DecodeLabs[[#This Row],[Abandoned Cart]]*DecodeLabs[[#This Row],[UnitPrice]]</f>
        <v>220.04</v>
      </c>
    </row>
    <row r="282" spans="1:16" hidden="1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9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>
        <f t="shared" si="4"/>
        <v>3</v>
      </c>
      <c r="M282" t="s">
        <v>4276</v>
      </c>
      <c r="N282" t="s">
        <v>4278</v>
      </c>
      <c r="O282" s="11">
        <v>1213.8599999999999</v>
      </c>
      <c r="P282" s="9">
        <f>DecodeLabs[[#This Row],[Abandoned Cart]]*DecodeLabs[[#This Row],[UnitPrice]]</f>
        <v>1213.8600000000001</v>
      </c>
    </row>
    <row r="283" spans="1:16" hidden="1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9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>
        <f t="shared" si="4"/>
        <v>5</v>
      </c>
      <c r="M283" t="s">
        <v>4283</v>
      </c>
      <c r="N283" t="s">
        <v>4279</v>
      </c>
      <c r="O283" s="11">
        <v>2619.16</v>
      </c>
      <c r="P283" s="9">
        <f>DecodeLabs[[#This Row],[Abandoned Cart]]*DecodeLabs[[#This Row],[UnitPrice]]</f>
        <v>3273.95</v>
      </c>
    </row>
    <row r="284" spans="1:16" hidden="1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9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>
        <f t="shared" si="4"/>
        <v>5</v>
      </c>
      <c r="M284" t="s">
        <v>4276</v>
      </c>
      <c r="N284" t="s">
        <v>4282</v>
      </c>
      <c r="O284" s="11">
        <v>2551.16</v>
      </c>
      <c r="P284" s="9">
        <f>DecodeLabs[[#This Row],[Abandoned Cart]]*DecodeLabs[[#This Row],[UnitPrice]]</f>
        <v>3188.95</v>
      </c>
    </row>
    <row r="285" spans="1:16" hidden="1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9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>
        <f t="shared" si="4"/>
        <v>2</v>
      </c>
      <c r="M285" t="s">
        <v>4283</v>
      </c>
      <c r="N285" t="s">
        <v>4282</v>
      </c>
      <c r="O285" s="11">
        <v>2161.3200000000002</v>
      </c>
      <c r="P285" s="9">
        <f>DecodeLabs[[#This Row],[Abandoned Cart]]*DecodeLabs[[#This Row],[UnitPrice]]</f>
        <v>1080.6600000000001</v>
      </c>
    </row>
    <row r="286" spans="1:16" hidden="1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9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>
        <f t="shared" si="4"/>
        <v>1</v>
      </c>
      <c r="M286" t="s">
        <v>4275</v>
      </c>
      <c r="N286" t="s">
        <v>4281</v>
      </c>
      <c r="O286" s="11">
        <v>1040.8499999999999</v>
      </c>
      <c r="P286" s="9">
        <f>DecodeLabs[[#This Row],[Abandoned Cart]]*DecodeLabs[[#This Row],[UnitPrice]]</f>
        <v>208.17</v>
      </c>
    </row>
    <row r="287" spans="1:16" hidden="1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9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>
        <f t="shared" si="4"/>
        <v>2</v>
      </c>
      <c r="M287" t="s">
        <v>4283</v>
      </c>
      <c r="N287" t="s">
        <v>4282</v>
      </c>
      <c r="O287" s="11">
        <v>338.31</v>
      </c>
      <c r="P287" s="9">
        <f>DecodeLabs[[#This Row],[Abandoned Cart]]*DecodeLabs[[#This Row],[UnitPrice]]</f>
        <v>676.62</v>
      </c>
    </row>
    <row r="288" spans="1:16" hidden="1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9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>
        <f t="shared" si="4"/>
        <v>5</v>
      </c>
      <c r="M288" t="s">
        <v>4277</v>
      </c>
      <c r="N288" t="s">
        <v>4282</v>
      </c>
      <c r="O288" s="11">
        <v>418.35</v>
      </c>
      <c r="P288" s="9">
        <f>DecodeLabs[[#This Row],[Abandoned Cart]]*DecodeLabs[[#This Row],[UnitPrice]]</f>
        <v>697.25</v>
      </c>
    </row>
    <row r="289" spans="1:16" hidden="1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>
        <f t="shared" si="4"/>
        <v>1</v>
      </c>
      <c r="M289" t="s">
        <v>4283</v>
      </c>
      <c r="N289" t="s">
        <v>4281</v>
      </c>
      <c r="O289" s="11">
        <v>2620.7199999999998</v>
      </c>
      <c r="P289" s="9">
        <f>DecodeLabs[[#This Row],[Abandoned Cart]]*DecodeLabs[[#This Row],[UnitPrice]]</f>
        <v>655.17999999999995</v>
      </c>
    </row>
    <row r="290" spans="1:16" hidden="1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9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>
        <f t="shared" si="4"/>
        <v>4</v>
      </c>
      <c r="M290" t="s">
        <v>4277</v>
      </c>
      <c r="N290" t="s">
        <v>4282</v>
      </c>
      <c r="O290" s="11">
        <v>2051</v>
      </c>
      <c r="P290" s="9">
        <f>DecodeLabs[[#This Row],[Abandoned Cart]]*DecodeLabs[[#This Row],[UnitPrice]]</f>
        <v>2051</v>
      </c>
    </row>
    <row r="291" spans="1:16" hidden="1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9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>
        <f t="shared" si="4"/>
        <v>4</v>
      </c>
      <c r="M291" t="s">
        <v>4277</v>
      </c>
      <c r="N291" t="s">
        <v>4279</v>
      </c>
      <c r="O291" s="11">
        <v>641.96</v>
      </c>
      <c r="P291" s="9">
        <f>DecodeLabs[[#This Row],[Abandoned Cart]]*DecodeLabs[[#This Row],[UnitPrice]]</f>
        <v>641.96</v>
      </c>
    </row>
    <row r="292" spans="1:16" hidden="1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9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>
        <f t="shared" si="4"/>
        <v>5</v>
      </c>
      <c r="M292" t="s">
        <v>4276</v>
      </c>
      <c r="N292" t="s">
        <v>4281</v>
      </c>
      <c r="O292" s="11">
        <v>299.7</v>
      </c>
      <c r="P292" s="9">
        <f>DecodeLabs[[#This Row],[Abandoned Cart]]*DecodeLabs[[#This Row],[UnitPrice]]</f>
        <v>499.5</v>
      </c>
    </row>
    <row r="293" spans="1:16" hidden="1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9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>
        <f t="shared" si="4"/>
        <v>4</v>
      </c>
      <c r="M293" t="s">
        <v>4276</v>
      </c>
      <c r="N293" t="s">
        <v>4282</v>
      </c>
      <c r="O293" s="11">
        <v>690.02</v>
      </c>
      <c r="P293" s="9">
        <f>DecodeLabs[[#This Row],[Abandoned Cart]]*DecodeLabs[[#This Row],[UnitPrice]]</f>
        <v>1380.04</v>
      </c>
    </row>
    <row r="294" spans="1:16" hidden="1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9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>
        <f t="shared" si="4"/>
        <v>4</v>
      </c>
      <c r="M294" t="s">
        <v>4283</v>
      </c>
      <c r="N294" t="s">
        <v>4281</v>
      </c>
      <c r="O294" s="11">
        <v>65.95</v>
      </c>
      <c r="P294" s="9">
        <f>DecodeLabs[[#This Row],[Abandoned Cart]]*DecodeLabs[[#This Row],[UnitPrice]]</f>
        <v>263.8</v>
      </c>
    </row>
    <row r="295" spans="1:16" hidden="1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9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>
        <f t="shared" si="4"/>
        <v>5</v>
      </c>
      <c r="M295" t="s">
        <v>4283</v>
      </c>
      <c r="N295" t="s">
        <v>4278</v>
      </c>
      <c r="O295" s="11">
        <v>1852.16</v>
      </c>
      <c r="P295" s="9">
        <f>DecodeLabs[[#This Row],[Abandoned Cart]]*DecodeLabs[[#This Row],[UnitPrice]]</f>
        <v>2315.2000000000003</v>
      </c>
    </row>
    <row r="296" spans="1:16" hidden="1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9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>
        <f t="shared" si="4"/>
        <v>5</v>
      </c>
      <c r="M296" t="s">
        <v>4275</v>
      </c>
      <c r="N296" t="s">
        <v>4279</v>
      </c>
      <c r="O296" s="11">
        <v>595.41999999999996</v>
      </c>
      <c r="P296" s="9">
        <f>DecodeLabs[[#This Row],[Abandoned Cart]]*DecodeLabs[[#This Row],[UnitPrice]]</f>
        <v>1488.55</v>
      </c>
    </row>
    <row r="297" spans="1:16" hidden="1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9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>
        <f t="shared" si="4"/>
        <v>4</v>
      </c>
      <c r="M297" t="s">
        <v>4276</v>
      </c>
      <c r="N297" t="s">
        <v>4280</v>
      </c>
      <c r="O297" s="11">
        <v>537.4</v>
      </c>
      <c r="P297" s="9">
        <f>DecodeLabs[[#This Row],[Abandoned Cart]]*DecodeLabs[[#This Row],[UnitPrice]]</f>
        <v>429.92</v>
      </c>
    </row>
    <row r="298" spans="1:16" hidden="1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9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>
        <f t="shared" si="4"/>
        <v>5</v>
      </c>
      <c r="M298" t="s">
        <v>4277</v>
      </c>
      <c r="N298" t="s">
        <v>4279</v>
      </c>
      <c r="O298" s="11">
        <v>3194</v>
      </c>
      <c r="P298" s="9">
        <f>DecodeLabs[[#This Row],[Abandoned Cart]]*DecodeLabs[[#This Row],[UnitPrice]]</f>
        <v>3194</v>
      </c>
    </row>
    <row r="299" spans="1:16" hidden="1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>
        <f t="shared" si="4"/>
        <v>5</v>
      </c>
      <c r="M299" t="s">
        <v>4275</v>
      </c>
      <c r="N299" t="s">
        <v>4278</v>
      </c>
      <c r="O299" s="11">
        <v>987.76</v>
      </c>
      <c r="P299" s="9">
        <f>DecodeLabs[[#This Row],[Abandoned Cart]]*DecodeLabs[[#This Row],[UnitPrice]]</f>
        <v>2469.4</v>
      </c>
    </row>
    <row r="300" spans="1:16" hidden="1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9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>
        <f t="shared" si="4"/>
        <v>2</v>
      </c>
      <c r="M300" t="s">
        <v>4283</v>
      </c>
      <c r="N300" t="s">
        <v>4280</v>
      </c>
      <c r="O300" s="11">
        <v>1204.68</v>
      </c>
      <c r="P300" s="9">
        <f>DecodeLabs[[#This Row],[Abandoned Cart]]*DecodeLabs[[#This Row],[UnitPrice]]</f>
        <v>602.34</v>
      </c>
    </row>
    <row r="301" spans="1:16" hidden="1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9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>
        <f t="shared" si="4"/>
        <v>1</v>
      </c>
      <c r="M301" t="s">
        <v>4276</v>
      </c>
      <c r="N301" t="s">
        <v>4278</v>
      </c>
      <c r="O301" s="11">
        <v>278.66000000000003</v>
      </c>
      <c r="P301" s="9">
        <f>DecodeLabs[[#This Row],[Abandoned Cart]]*DecodeLabs[[#This Row],[UnitPrice]]</f>
        <v>278.66000000000003</v>
      </c>
    </row>
    <row r="302" spans="1:16" hidden="1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9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>
        <f t="shared" si="4"/>
        <v>2</v>
      </c>
      <c r="M302" t="s">
        <v>4276</v>
      </c>
      <c r="N302" t="s">
        <v>4281</v>
      </c>
      <c r="O302" s="11">
        <v>287.45999999999998</v>
      </c>
      <c r="P302" s="9">
        <f>DecodeLabs[[#This Row],[Abandoned Cart]]*DecodeLabs[[#This Row],[UnitPrice]]</f>
        <v>574.91999999999996</v>
      </c>
    </row>
    <row r="303" spans="1:16" hidden="1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9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>
        <f t="shared" si="4"/>
        <v>1</v>
      </c>
      <c r="M303" t="s">
        <v>4275</v>
      </c>
      <c r="N303" t="s">
        <v>4280</v>
      </c>
      <c r="O303" s="11">
        <v>583.99</v>
      </c>
      <c r="P303" s="9">
        <f>DecodeLabs[[#This Row],[Abandoned Cart]]*DecodeLabs[[#This Row],[UnitPrice]]</f>
        <v>583.99</v>
      </c>
    </row>
    <row r="304" spans="1:16" hidden="1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9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>
        <f t="shared" si="4"/>
        <v>1</v>
      </c>
      <c r="M304" t="s">
        <v>4276</v>
      </c>
      <c r="N304" t="s">
        <v>4278</v>
      </c>
      <c r="O304" s="11">
        <v>1406.22</v>
      </c>
      <c r="P304" s="9">
        <f>DecodeLabs[[#This Row],[Abandoned Cart]]*DecodeLabs[[#This Row],[UnitPrice]]</f>
        <v>468.74</v>
      </c>
    </row>
    <row r="305" spans="1:16" hidden="1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9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>
        <f t="shared" si="4"/>
        <v>0</v>
      </c>
      <c r="M305" t="s">
        <v>4283</v>
      </c>
      <c r="N305" t="s">
        <v>4282</v>
      </c>
      <c r="O305" s="11">
        <v>30.54</v>
      </c>
      <c r="P305" s="9">
        <f>DecodeLabs[[#This Row],[Abandoned Cart]]*DecodeLabs[[#This Row],[UnitPrice]]</f>
        <v>0</v>
      </c>
    </row>
    <row r="306" spans="1:16" hidden="1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9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>
        <f t="shared" si="4"/>
        <v>5</v>
      </c>
      <c r="M306" t="s">
        <v>4276</v>
      </c>
      <c r="N306" t="s">
        <v>4278</v>
      </c>
      <c r="O306" s="11">
        <v>2043.65</v>
      </c>
      <c r="P306" s="9">
        <f>DecodeLabs[[#This Row],[Abandoned Cart]]*DecodeLabs[[#This Row],[UnitPrice]]</f>
        <v>2043.65</v>
      </c>
    </row>
    <row r="307" spans="1:16" hidden="1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9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>
        <f t="shared" si="4"/>
        <v>5</v>
      </c>
      <c r="M307" t="s">
        <v>4276</v>
      </c>
      <c r="N307" t="s">
        <v>4278</v>
      </c>
      <c r="O307" s="11">
        <v>507.56</v>
      </c>
      <c r="P307" s="9">
        <f>DecodeLabs[[#This Row],[Abandoned Cart]]*DecodeLabs[[#This Row],[UnitPrice]]</f>
        <v>634.45000000000005</v>
      </c>
    </row>
    <row r="308" spans="1:16" hidden="1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9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>
        <f t="shared" si="4"/>
        <v>1</v>
      </c>
      <c r="M308" t="s">
        <v>4275</v>
      </c>
      <c r="N308" t="s">
        <v>4278</v>
      </c>
      <c r="O308" s="11">
        <v>114.14</v>
      </c>
      <c r="P308" s="9">
        <f>DecodeLabs[[#This Row],[Abandoned Cart]]*DecodeLabs[[#This Row],[UnitPrice]]</f>
        <v>57.07</v>
      </c>
    </row>
    <row r="309" spans="1:16" hidden="1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>
        <f t="shared" si="4"/>
        <v>1</v>
      </c>
      <c r="M309" t="s">
        <v>4283</v>
      </c>
      <c r="N309" t="s">
        <v>4280</v>
      </c>
      <c r="O309" s="11">
        <v>1672.23</v>
      </c>
      <c r="P309" s="9">
        <f>DecodeLabs[[#This Row],[Abandoned Cart]]*DecodeLabs[[#This Row],[UnitPrice]]</f>
        <v>557.41</v>
      </c>
    </row>
    <row r="310" spans="1:16" hidden="1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9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>
        <f t="shared" si="4"/>
        <v>4</v>
      </c>
      <c r="M310" t="s">
        <v>4275</v>
      </c>
      <c r="N310" t="s">
        <v>4278</v>
      </c>
      <c r="O310" s="11">
        <v>1346.7</v>
      </c>
      <c r="P310" s="9">
        <f>DecodeLabs[[#This Row],[Abandoned Cart]]*DecodeLabs[[#This Row],[UnitPrice]]</f>
        <v>1795.6</v>
      </c>
    </row>
    <row r="311" spans="1:16" hidden="1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9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>
        <f t="shared" si="4"/>
        <v>0</v>
      </c>
      <c r="M311" t="s">
        <v>4276</v>
      </c>
      <c r="N311" t="s">
        <v>4281</v>
      </c>
      <c r="O311" s="11">
        <v>2199.04</v>
      </c>
      <c r="P311" s="9">
        <f>DecodeLabs[[#This Row],[Abandoned Cart]]*DecodeLabs[[#This Row],[UnitPrice]]</f>
        <v>0</v>
      </c>
    </row>
    <row r="312" spans="1:16" hidden="1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9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>
        <f t="shared" si="4"/>
        <v>1</v>
      </c>
      <c r="M312" t="s">
        <v>4283</v>
      </c>
      <c r="N312" t="s">
        <v>4279</v>
      </c>
      <c r="O312" s="11">
        <v>397.43999999999988</v>
      </c>
      <c r="P312" s="9">
        <f>DecodeLabs[[#This Row],[Abandoned Cart]]*DecodeLabs[[#This Row],[UnitPrice]]</f>
        <v>132.47999999999999</v>
      </c>
    </row>
    <row r="313" spans="1:16" hidden="1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9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>
        <f t="shared" si="4"/>
        <v>3</v>
      </c>
      <c r="M313" t="s">
        <v>4283</v>
      </c>
      <c r="N313" t="s">
        <v>4278</v>
      </c>
      <c r="O313" s="11">
        <v>2446.85</v>
      </c>
      <c r="P313" s="9">
        <f>DecodeLabs[[#This Row],[Abandoned Cart]]*DecodeLabs[[#This Row],[UnitPrice]]</f>
        <v>1468.1100000000001</v>
      </c>
    </row>
    <row r="314" spans="1:16" hidden="1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9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>
        <f t="shared" si="4"/>
        <v>2</v>
      </c>
      <c r="M314" t="s">
        <v>4276</v>
      </c>
      <c r="N314" t="s">
        <v>4279</v>
      </c>
      <c r="O314" s="11">
        <v>331.55</v>
      </c>
      <c r="P314" s="9">
        <f>DecodeLabs[[#This Row],[Abandoned Cart]]*DecodeLabs[[#This Row],[UnitPrice]]</f>
        <v>132.62</v>
      </c>
    </row>
    <row r="315" spans="1:16" hidden="1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9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>
        <f t="shared" si="4"/>
        <v>5</v>
      </c>
      <c r="M315" t="s">
        <v>4275</v>
      </c>
      <c r="N315" t="s">
        <v>4278</v>
      </c>
      <c r="O315" s="11">
        <v>868.6</v>
      </c>
      <c r="P315" s="9">
        <f>DecodeLabs[[#This Row],[Abandoned Cart]]*DecodeLabs[[#This Row],[UnitPrice]]</f>
        <v>2171.5</v>
      </c>
    </row>
    <row r="316" spans="1:16" hidden="1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9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>
        <f t="shared" si="4"/>
        <v>0</v>
      </c>
      <c r="M316" t="s">
        <v>4276</v>
      </c>
      <c r="N316" t="s">
        <v>4279</v>
      </c>
      <c r="O316" s="11">
        <v>612.36</v>
      </c>
      <c r="P316" s="9">
        <f>DecodeLabs[[#This Row],[Abandoned Cart]]*DecodeLabs[[#This Row],[UnitPrice]]</f>
        <v>0</v>
      </c>
    </row>
    <row r="317" spans="1:16" hidden="1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9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>
        <f t="shared" si="4"/>
        <v>4</v>
      </c>
      <c r="M317" t="s">
        <v>4276</v>
      </c>
      <c r="N317" t="s">
        <v>4280</v>
      </c>
      <c r="O317" s="11">
        <v>458.35</v>
      </c>
      <c r="P317" s="9">
        <f>DecodeLabs[[#This Row],[Abandoned Cart]]*DecodeLabs[[#This Row],[UnitPrice]]</f>
        <v>366.68</v>
      </c>
    </row>
    <row r="318" spans="1:16" hidden="1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9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>
        <f t="shared" si="4"/>
        <v>5</v>
      </c>
      <c r="M318" t="s">
        <v>4277</v>
      </c>
      <c r="N318" t="s">
        <v>4281</v>
      </c>
      <c r="O318" s="11">
        <v>1101.1199999999999</v>
      </c>
      <c r="P318" s="9">
        <f>DecodeLabs[[#This Row],[Abandoned Cart]]*DecodeLabs[[#This Row],[UnitPrice]]</f>
        <v>1376.3999999999999</v>
      </c>
    </row>
    <row r="319" spans="1:16" hidden="1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>
        <f t="shared" si="4"/>
        <v>3</v>
      </c>
      <c r="M319" t="s">
        <v>4283</v>
      </c>
      <c r="N319" t="s">
        <v>4278</v>
      </c>
      <c r="O319" s="11">
        <v>279.89999999999998</v>
      </c>
      <c r="P319" s="9">
        <f>DecodeLabs[[#This Row],[Abandoned Cart]]*DecodeLabs[[#This Row],[UnitPrice]]</f>
        <v>419.84999999999997</v>
      </c>
    </row>
    <row r="320" spans="1:16" hidden="1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9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>
        <f t="shared" si="4"/>
        <v>4</v>
      </c>
      <c r="M320" t="s">
        <v>4275</v>
      </c>
      <c r="N320" t="s">
        <v>4282</v>
      </c>
      <c r="O320" s="11">
        <v>446.16</v>
      </c>
      <c r="P320" s="9">
        <f>DecodeLabs[[#This Row],[Abandoned Cart]]*DecodeLabs[[#This Row],[UnitPrice]]</f>
        <v>594.88</v>
      </c>
    </row>
    <row r="321" spans="1:16" hidden="1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9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>
        <f t="shared" si="4"/>
        <v>4</v>
      </c>
      <c r="M321" t="s">
        <v>4283</v>
      </c>
      <c r="N321" t="s">
        <v>4278</v>
      </c>
      <c r="O321" s="11">
        <v>1126.1199999999999</v>
      </c>
      <c r="P321" s="9">
        <f>DecodeLabs[[#This Row],[Abandoned Cart]]*DecodeLabs[[#This Row],[UnitPrice]]</f>
        <v>2252.2399999999998</v>
      </c>
    </row>
    <row r="322" spans="1:16" hidden="1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9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>
        <f t="shared" ref="L322:L385" si="5">K322-E322</f>
        <v>0</v>
      </c>
      <c r="M322" t="s">
        <v>4276</v>
      </c>
      <c r="N322" t="s">
        <v>4281</v>
      </c>
      <c r="O322" s="11">
        <v>625.51</v>
      </c>
      <c r="P322" s="9">
        <f>DecodeLabs[[#This Row],[Abandoned Cart]]*DecodeLabs[[#This Row],[UnitPrice]]</f>
        <v>0</v>
      </c>
    </row>
    <row r="323" spans="1:16" hidden="1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9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>
        <f t="shared" si="5"/>
        <v>2</v>
      </c>
      <c r="M323" t="s">
        <v>4277</v>
      </c>
      <c r="N323" t="s">
        <v>4282</v>
      </c>
      <c r="O323" s="11">
        <v>609.16</v>
      </c>
      <c r="P323" s="9">
        <f>DecodeLabs[[#This Row],[Abandoned Cart]]*DecodeLabs[[#This Row],[UnitPrice]]</f>
        <v>304.58</v>
      </c>
    </row>
    <row r="324" spans="1:16" hidden="1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9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>
        <f t="shared" si="5"/>
        <v>1</v>
      </c>
      <c r="M324" t="s">
        <v>4275</v>
      </c>
      <c r="N324" t="s">
        <v>4281</v>
      </c>
      <c r="O324" s="11">
        <v>1159.0999999999999</v>
      </c>
      <c r="P324" s="9">
        <f>DecodeLabs[[#This Row],[Abandoned Cart]]*DecodeLabs[[#This Row],[UnitPrice]]</f>
        <v>231.82</v>
      </c>
    </row>
    <row r="325" spans="1:16" hidden="1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9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>
        <f t="shared" si="5"/>
        <v>0</v>
      </c>
      <c r="M325" t="s">
        <v>4275</v>
      </c>
      <c r="N325" t="s">
        <v>4279</v>
      </c>
      <c r="O325" s="11">
        <v>150.16999999999999</v>
      </c>
      <c r="P325" s="9">
        <f>DecodeLabs[[#This Row],[Abandoned Cart]]*DecodeLabs[[#This Row],[UnitPrice]]</f>
        <v>0</v>
      </c>
    </row>
    <row r="326" spans="1:16" hidden="1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9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>
        <f t="shared" si="5"/>
        <v>2</v>
      </c>
      <c r="M326" t="s">
        <v>4283</v>
      </c>
      <c r="N326" t="s">
        <v>4279</v>
      </c>
      <c r="O326" s="11">
        <v>212.79</v>
      </c>
      <c r="P326" s="9">
        <f>DecodeLabs[[#This Row],[Abandoned Cart]]*DecodeLabs[[#This Row],[UnitPrice]]</f>
        <v>141.86000000000001</v>
      </c>
    </row>
    <row r="327" spans="1:16" hidden="1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9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>
        <f t="shared" si="5"/>
        <v>5</v>
      </c>
      <c r="M327" t="s">
        <v>4283</v>
      </c>
      <c r="N327" t="s">
        <v>4279</v>
      </c>
      <c r="O327" s="11">
        <v>1084.17</v>
      </c>
      <c r="P327" s="9">
        <f>DecodeLabs[[#This Row],[Abandoned Cart]]*DecodeLabs[[#This Row],[UnitPrice]]</f>
        <v>1806.9499999999998</v>
      </c>
    </row>
    <row r="328" spans="1:16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9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>
        <f t="shared" si="5"/>
        <v>0</v>
      </c>
      <c r="M328" t="s">
        <v>4275</v>
      </c>
      <c r="N328" t="s">
        <v>4281</v>
      </c>
      <c r="O328" s="11">
        <v>3352.4</v>
      </c>
      <c r="P328" s="9">
        <f>DecodeLabs[[#This Row],[Abandoned Cart]]*DecodeLabs[[#This Row],[UnitPrice]]</f>
        <v>0</v>
      </c>
    </row>
    <row r="329" spans="1:16" hidden="1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>
        <f t="shared" si="5"/>
        <v>4</v>
      </c>
      <c r="M329" t="s">
        <v>4275</v>
      </c>
      <c r="N329" t="s">
        <v>4280</v>
      </c>
      <c r="O329" s="11">
        <v>359.99</v>
      </c>
      <c r="P329" s="9">
        <f>DecodeLabs[[#This Row],[Abandoned Cart]]*DecodeLabs[[#This Row],[UnitPrice]]</f>
        <v>1439.96</v>
      </c>
    </row>
    <row r="330" spans="1:16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9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>
        <f t="shared" si="5"/>
        <v>2</v>
      </c>
      <c r="M330" t="s">
        <v>4275</v>
      </c>
      <c r="N330" t="s">
        <v>4282</v>
      </c>
      <c r="O330" s="11">
        <v>3370.2</v>
      </c>
      <c r="P330" s="9">
        <f>DecodeLabs[[#This Row],[Abandoned Cart]]*DecodeLabs[[#This Row],[UnitPrice]]</f>
        <v>1348.08</v>
      </c>
    </row>
    <row r="331" spans="1:16" hidden="1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9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>
        <f t="shared" si="5"/>
        <v>2</v>
      </c>
      <c r="M331" t="s">
        <v>4283</v>
      </c>
      <c r="N331" t="s">
        <v>4282</v>
      </c>
      <c r="O331" s="11">
        <v>1132.6400000000001</v>
      </c>
      <c r="P331" s="9">
        <f>DecodeLabs[[#This Row],[Abandoned Cart]]*DecodeLabs[[#This Row],[UnitPrice]]</f>
        <v>566.32000000000005</v>
      </c>
    </row>
    <row r="332" spans="1:16" hidden="1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9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>
        <f t="shared" si="5"/>
        <v>0</v>
      </c>
      <c r="M332" t="s">
        <v>4275</v>
      </c>
      <c r="N332" t="s">
        <v>4278</v>
      </c>
      <c r="O332" s="11">
        <v>1302.6500000000001</v>
      </c>
      <c r="P332" s="9">
        <f>DecodeLabs[[#This Row],[Abandoned Cart]]*DecodeLabs[[#This Row],[UnitPrice]]</f>
        <v>0</v>
      </c>
    </row>
    <row r="333" spans="1:16" hidden="1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9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>
        <f t="shared" si="5"/>
        <v>4</v>
      </c>
      <c r="M333" t="s">
        <v>4275</v>
      </c>
      <c r="N333" t="s">
        <v>4281</v>
      </c>
      <c r="O333" s="11">
        <v>1266.3900000000001</v>
      </c>
      <c r="P333" s="9">
        <f>DecodeLabs[[#This Row],[Abandoned Cart]]*DecodeLabs[[#This Row],[UnitPrice]]</f>
        <v>1688.52</v>
      </c>
    </row>
    <row r="334" spans="1:16" hidden="1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9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>
        <f t="shared" si="5"/>
        <v>4</v>
      </c>
      <c r="M334" t="s">
        <v>4275</v>
      </c>
      <c r="N334" t="s">
        <v>4282</v>
      </c>
      <c r="O334" s="11">
        <v>625.1</v>
      </c>
      <c r="P334" s="9">
        <f>DecodeLabs[[#This Row],[Abandoned Cart]]*DecodeLabs[[#This Row],[UnitPrice]]</f>
        <v>500.08</v>
      </c>
    </row>
    <row r="335" spans="1:16" hidden="1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9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>
        <f t="shared" si="5"/>
        <v>4</v>
      </c>
      <c r="M335" t="s">
        <v>4277</v>
      </c>
      <c r="N335" t="s">
        <v>4278</v>
      </c>
      <c r="O335" s="11">
        <v>198.51</v>
      </c>
      <c r="P335" s="9">
        <f>DecodeLabs[[#This Row],[Abandoned Cart]]*DecodeLabs[[#This Row],[UnitPrice]]</f>
        <v>794.04</v>
      </c>
    </row>
    <row r="336" spans="1:16" hidden="1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9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>
        <f t="shared" si="5"/>
        <v>3</v>
      </c>
      <c r="M336" t="s">
        <v>4277</v>
      </c>
      <c r="N336" t="s">
        <v>4281</v>
      </c>
      <c r="O336" s="11">
        <v>899</v>
      </c>
      <c r="P336" s="9">
        <f>DecodeLabs[[#This Row],[Abandoned Cart]]*DecodeLabs[[#This Row],[UnitPrice]]</f>
        <v>674.25</v>
      </c>
    </row>
    <row r="337" spans="1:16" hidden="1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9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>
        <f t="shared" si="5"/>
        <v>1</v>
      </c>
      <c r="M337" t="s">
        <v>4283</v>
      </c>
      <c r="N337" t="s">
        <v>4280</v>
      </c>
      <c r="O337" s="11">
        <v>617.58000000000004</v>
      </c>
      <c r="P337" s="9">
        <f>DecodeLabs[[#This Row],[Abandoned Cart]]*DecodeLabs[[#This Row],[UnitPrice]]</f>
        <v>205.86</v>
      </c>
    </row>
    <row r="338" spans="1:16" hidden="1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9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>
        <f t="shared" si="5"/>
        <v>3</v>
      </c>
      <c r="M338" t="s">
        <v>4275</v>
      </c>
      <c r="N338" t="s">
        <v>4278</v>
      </c>
      <c r="O338" s="11">
        <v>18.2</v>
      </c>
      <c r="P338" s="9">
        <f>DecodeLabs[[#This Row],[Abandoned Cart]]*DecodeLabs[[#This Row],[UnitPrice]]</f>
        <v>54.599999999999994</v>
      </c>
    </row>
    <row r="339" spans="1:16" hidden="1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>
        <f t="shared" si="5"/>
        <v>5</v>
      </c>
      <c r="M339" t="s">
        <v>4277</v>
      </c>
      <c r="N339" t="s">
        <v>4280</v>
      </c>
      <c r="O339" s="11">
        <v>1508.31</v>
      </c>
      <c r="P339" s="9">
        <f>DecodeLabs[[#This Row],[Abandoned Cart]]*DecodeLabs[[#This Row],[UnitPrice]]</f>
        <v>2513.85</v>
      </c>
    </row>
    <row r="340" spans="1:16" hidden="1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9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>
        <f t="shared" si="5"/>
        <v>5</v>
      </c>
      <c r="M340" t="s">
        <v>4283</v>
      </c>
      <c r="N340" t="s">
        <v>4279</v>
      </c>
      <c r="O340" s="11">
        <v>1527.45</v>
      </c>
      <c r="P340" s="9">
        <f>DecodeLabs[[#This Row],[Abandoned Cart]]*DecodeLabs[[#This Row],[UnitPrice]]</f>
        <v>1527.45</v>
      </c>
    </row>
    <row r="341" spans="1:16" hidden="1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9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>
        <f t="shared" si="5"/>
        <v>1</v>
      </c>
      <c r="M341" t="s">
        <v>4275</v>
      </c>
      <c r="N341" t="s">
        <v>4278</v>
      </c>
      <c r="O341" s="11">
        <v>472.66</v>
      </c>
      <c r="P341" s="9">
        <f>DecodeLabs[[#This Row],[Abandoned Cart]]*DecodeLabs[[#This Row],[UnitPrice]]</f>
        <v>236.33</v>
      </c>
    </row>
    <row r="342" spans="1:16" hidden="1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9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>
        <f t="shared" si="5"/>
        <v>3</v>
      </c>
      <c r="M342" t="s">
        <v>4283</v>
      </c>
      <c r="N342" t="s">
        <v>4280</v>
      </c>
      <c r="O342" s="11">
        <v>2606.25</v>
      </c>
      <c r="P342" s="9">
        <f>DecodeLabs[[#This Row],[Abandoned Cart]]*DecodeLabs[[#This Row],[UnitPrice]]</f>
        <v>1563.75</v>
      </c>
    </row>
    <row r="343" spans="1:16" hidden="1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9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>
        <f t="shared" si="5"/>
        <v>4</v>
      </c>
      <c r="M343" t="s">
        <v>4277</v>
      </c>
      <c r="N343" t="s">
        <v>4280</v>
      </c>
      <c r="O343" s="11">
        <v>167.15</v>
      </c>
      <c r="P343" s="9">
        <f>DecodeLabs[[#This Row],[Abandoned Cart]]*DecodeLabs[[#This Row],[UnitPrice]]</f>
        <v>668.6</v>
      </c>
    </row>
    <row r="344" spans="1:16" hidden="1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9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>
        <f t="shared" si="5"/>
        <v>0</v>
      </c>
      <c r="M344" t="s">
        <v>4283</v>
      </c>
      <c r="N344" t="s">
        <v>4279</v>
      </c>
      <c r="O344" s="11">
        <v>2332.1</v>
      </c>
      <c r="P344" s="9">
        <f>DecodeLabs[[#This Row],[Abandoned Cart]]*DecodeLabs[[#This Row],[UnitPrice]]</f>
        <v>0</v>
      </c>
    </row>
    <row r="345" spans="1:16" hidden="1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9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>
        <f t="shared" si="5"/>
        <v>2</v>
      </c>
      <c r="M345" t="s">
        <v>4276</v>
      </c>
      <c r="N345" t="s">
        <v>4281</v>
      </c>
      <c r="O345" s="11">
        <v>527.57000000000005</v>
      </c>
      <c r="P345" s="9">
        <f>DecodeLabs[[#This Row],[Abandoned Cart]]*DecodeLabs[[#This Row],[UnitPrice]]</f>
        <v>1055.1400000000001</v>
      </c>
    </row>
    <row r="346" spans="1:16" hidden="1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9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>
        <f t="shared" si="5"/>
        <v>0</v>
      </c>
      <c r="M346" t="s">
        <v>4275</v>
      </c>
      <c r="N346" t="s">
        <v>4278</v>
      </c>
      <c r="O346" s="11">
        <v>1870.02</v>
      </c>
      <c r="P346" s="9">
        <f>DecodeLabs[[#This Row],[Abandoned Cart]]*DecodeLabs[[#This Row],[UnitPrice]]</f>
        <v>0</v>
      </c>
    </row>
    <row r="347" spans="1:16" hidden="1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9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>
        <f t="shared" si="5"/>
        <v>5</v>
      </c>
      <c r="M347" t="s">
        <v>4276</v>
      </c>
      <c r="N347" t="s">
        <v>4279</v>
      </c>
      <c r="O347" s="11">
        <v>2506.3000000000002</v>
      </c>
      <c r="P347" s="9">
        <f>DecodeLabs[[#This Row],[Abandoned Cart]]*DecodeLabs[[#This Row],[UnitPrice]]</f>
        <v>2506.3000000000002</v>
      </c>
    </row>
    <row r="348" spans="1:16" hidden="1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9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>
        <f t="shared" si="5"/>
        <v>5</v>
      </c>
      <c r="M348" t="s">
        <v>4283</v>
      </c>
      <c r="N348" t="s">
        <v>4279</v>
      </c>
      <c r="O348" s="11">
        <v>655.09</v>
      </c>
      <c r="P348" s="9">
        <f>DecodeLabs[[#This Row],[Abandoned Cart]]*DecodeLabs[[#This Row],[UnitPrice]]</f>
        <v>3275.4500000000003</v>
      </c>
    </row>
    <row r="349" spans="1:16" hidden="1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>
        <f t="shared" si="5"/>
        <v>1</v>
      </c>
      <c r="M349" t="s">
        <v>4275</v>
      </c>
      <c r="N349" t="s">
        <v>4282</v>
      </c>
      <c r="O349" s="11">
        <v>1059.1600000000001</v>
      </c>
      <c r="P349" s="9">
        <f>DecodeLabs[[#This Row],[Abandoned Cart]]*DecodeLabs[[#This Row],[UnitPrice]]</f>
        <v>264.79000000000002</v>
      </c>
    </row>
    <row r="350" spans="1:16" hidden="1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9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>
        <f t="shared" si="5"/>
        <v>4</v>
      </c>
      <c r="M350" t="s">
        <v>4276</v>
      </c>
      <c r="N350" t="s">
        <v>4280</v>
      </c>
      <c r="O350" s="11">
        <v>1079.19</v>
      </c>
      <c r="P350" s="9">
        <f>DecodeLabs[[#This Row],[Abandoned Cart]]*DecodeLabs[[#This Row],[UnitPrice]]</f>
        <v>1438.92</v>
      </c>
    </row>
    <row r="351" spans="1:16" hidden="1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9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>
        <f t="shared" si="5"/>
        <v>1</v>
      </c>
      <c r="M351" t="s">
        <v>4276</v>
      </c>
      <c r="N351" t="s">
        <v>4282</v>
      </c>
      <c r="O351" s="11">
        <v>465.33</v>
      </c>
      <c r="P351" s="9">
        <f>DecodeLabs[[#This Row],[Abandoned Cart]]*DecodeLabs[[#This Row],[UnitPrice]]</f>
        <v>465.33</v>
      </c>
    </row>
    <row r="352" spans="1:16" hidden="1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9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>
        <f t="shared" si="5"/>
        <v>4</v>
      </c>
      <c r="M352" t="s">
        <v>4283</v>
      </c>
      <c r="N352" t="s">
        <v>4278</v>
      </c>
      <c r="O352" s="11">
        <v>108.82</v>
      </c>
      <c r="P352" s="9">
        <f>DecodeLabs[[#This Row],[Abandoned Cart]]*DecodeLabs[[#This Row],[UnitPrice]]</f>
        <v>217.64</v>
      </c>
    </row>
    <row r="353" spans="1:16" hidden="1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9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>
        <f t="shared" si="5"/>
        <v>3</v>
      </c>
      <c r="M353" t="s">
        <v>4283</v>
      </c>
      <c r="N353" t="s">
        <v>4278</v>
      </c>
      <c r="O353" s="11">
        <v>64.66</v>
      </c>
      <c r="P353" s="9">
        <f>DecodeLabs[[#This Row],[Abandoned Cart]]*DecodeLabs[[#This Row],[UnitPrice]]</f>
        <v>193.98</v>
      </c>
    </row>
    <row r="354" spans="1:16" hidden="1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9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>
        <f t="shared" si="5"/>
        <v>3</v>
      </c>
      <c r="M354" t="s">
        <v>4277</v>
      </c>
      <c r="N354" t="s">
        <v>4278</v>
      </c>
      <c r="O354" s="11">
        <v>869.80000000000007</v>
      </c>
      <c r="P354" s="9">
        <f>DecodeLabs[[#This Row],[Abandoned Cart]]*DecodeLabs[[#This Row],[UnitPrice]]</f>
        <v>521.88</v>
      </c>
    </row>
    <row r="355" spans="1:16" hidden="1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9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>
        <f t="shared" si="5"/>
        <v>4</v>
      </c>
      <c r="M355" t="s">
        <v>4276</v>
      </c>
      <c r="N355" t="s">
        <v>4282</v>
      </c>
      <c r="O355" s="11">
        <v>630.82000000000005</v>
      </c>
      <c r="P355" s="9">
        <f>DecodeLabs[[#This Row],[Abandoned Cart]]*DecodeLabs[[#This Row],[UnitPrice]]</f>
        <v>2523.2800000000002</v>
      </c>
    </row>
    <row r="356" spans="1:16" hidden="1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9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>
        <f t="shared" si="5"/>
        <v>3</v>
      </c>
      <c r="M356" t="s">
        <v>4283</v>
      </c>
      <c r="N356" t="s">
        <v>4278</v>
      </c>
      <c r="O356" s="11">
        <v>693.41</v>
      </c>
      <c r="P356" s="9">
        <f>DecodeLabs[[#This Row],[Abandoned Cart]]*DecodeLabs[[#This Row],[UnitPrice]]</f>
        <v>2080.23</v>
      </c>
    </row>
    <row r="357" spans="1:16" hidden="1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9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>
        <f t="shared" si="5"/>
        <v>1</v>
      </c>
      <c r="M357" t="s">
        <v>4276</v>
      </c>
      <c r="N357" t="s">
        <v>4279</v>
      </c>
      <c r="O357" s="11">
        <v>1299.99</v>
      </c>
      <c r="P357" s="9">
        <f>DecodeLabs[[#This Row],[Abandoned Cart]]*DecodeLabs[[#This Row],[UnitPrice]]</f>
        <v>433.33</v>
      </c>
    </row>
    <row r="358" spans="1:16" hidden="1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9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>
        <f t="shared" si="5"/>
        <v>5</v>
      </c>
      <c r="M358" t="s">
        <v>4276</v>
      </c>
      <c r="N358" t="s">
        <v>4278</v>
      </c>
      <c r="O358" s="11">
        <v>1872.9</v>
      </c>
      <c r="P358" s="9">
        <f>DecodeLabs[[#This Row],[Abandoned Cart]]*DecodeLabs[[#This Row],[UnitPrice]]</f>
        <v>1872.8999999999999</v>
      </c>
    </row>
    <row r="359" spans="1:16" hidden="1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>
        <f t="shared" si="5"/>
        <v>3</v>
      </c>
      <c r="M359" t="s">
        <v>4276</v>
      </c>
      <c r="N359" t="s">
        <v>4278</v>
      </c>
      <c r="O359" s="11">
        <v>2042.8</v>
      </c>
      <c r="P359" s="9">
        <f>DecodeLabs[[#This Row],[Abandoned Cart]]*DecodeLabs[[#This Row],[UnitPrice]]</f>
        <v>1225.68</v>
      </c>
    </row>
    <row r="360" spans="1:16" hidden="1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9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>
        <f t="shared" si="5"/>
        <v>1</v>
      </c>
      <c r="M360" t="s">
        <v>4275</v>
      </c>
      <c r="N360" t="s">
        <v>4282</v>
      </c>
      <c r="O360" s="11">
        <v>367.34</v>
      </c>
      <c r="P360" s="9">
        <f>DecodeLabs[[#This Row],[Abandoned Cart]]*DecodeLabs[[#This Row],[UnitPrice]]</f>
        <v>183.67</v>
      </c>
    </row>
    <row r="361" spans="1:16" hidden="1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9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>
        <f t="shared" si="5"/>
        <v>1</v>
      </c>
      <c r="M361" t="s">
        <v>4277</v>
      </c>
      <c r="N361" t="s">
        <v>4279</v>
      </c>
      <c r="O361" s="11">
        <v>2426.2800000000002</v>
      </c>
      <c r="P361" s="9">
        <f>DecodeLabs[[#This Row],[Abandoned Cart]]*DecodeLabs[[#This Row],[UnitPrice]]</f>
        <v>606.57000000000005</v>
      </c>
    </row>
    <row r="362" spans="1:16" hidden="1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9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>
        <f t="shared" si="5"/>
        <v>4</v>
      </c>
      <c r="M362" t="s">
        <v>4283</v>
      </c>
      <c r="N362" t="s">
        <v>4278</v>
      </c>
      <c r="O362" s="11">
        <v>2358.2800000000002</v>
      </c>
      <c r="P362" s="9">
        <f>DecodeLabs[[#This Row],[Abandoned Cart]]*DecodeLabs[[#This Row],[UnitPrice]]</f>
        <v>2358.2800000000002</v>
      </c>
    </row>
    <row r="363" spans="1:16" hidden="1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9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>
        <f t="shared" si="5"/>
        <v>4</v>
      </c>
      <c r="M363" t="s">
        <v>4275</v>
      </c>
      <c r="N363" t="s">
        <v>4281</v>
      </c>
      <c r="O363" s="11">
        <v>3299.25</v>
      </c>
      <c r="P363" s="9">
        <f>DecodeLabs[[#This Row],[Abandoned Cart]]*DecodeLabs[[#This Row],[UnitPrice]]</f>
        <v>2639.4</v>
      </c>
    </row>
    <row r="364" spans="1:16" hidden="1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9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>
        <f t="shared" si="5"/>
        <v>1</v>
      </c>
      <c r="M364" t="s">
        <v>4277</v>
      </c>
      <c r="N364" t="s">
        <v>4278</v>
      </c>
      <c r="O364" s="11">
        <v>827.36</v>
      </c>
      <c r="P364" s="9">
        <f>DecodeLabs[[#This Row],[Abandoned Cart]]*DecodeLabs[[#This Row],[UnitPrice]]</f>
        <v>206.84</v>
      </c>
    </row>
    <row r="365" spans="1:16" hidden="1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9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>
        <f t="shared" si="5"/>
        <v>1</v>
      </c>
      <c r="M365" t="s">
        <v>4275</v>
      </c>
      <c r="N365" t="s">
        <v>4280</v>
      </c>
      <c r="O365" s="11">
        <v>569.35</v>
      </c>
      <c r="P365" s="9">
        <f>DecodeLabs[[#This Row],[Abandoned Cart]]*DecodeLabs[[#This Row],[UnitPrice]]</f>
        <v>113.87</v>
      </c>
    </row>
    <row r="366" spans="1:16" hidden="1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9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>
        <f t="shared" si="5"/>
        <v>4</v>
      </c>
      <c r="M366" t="s">
        <v>4276</v>
      </c>
      <c r="N366" t="s">
        <v>4281</v>
      </c>
      <c r="O366" s="11">
        <v>3143.7</v>
      </c>
      <c r="P366" s="9">
        <f>DecodeLabs[[#This Row],[Abandoned Cart]]*DecodeLabs[[#This Row],[UnitPrice]]</f>
        <v>2514.96</v>
      </c>
    </row>
    <row r="367" spans="1:16" hidden="1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9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>
        <f t="shared" si="5"/>
        <v>3</v>
      </c>
      <c r="M367" t="s">
        <v>4275</v>
      </c>
      <c r="N367" t="s">
        <v>4279</v>
      </c>
      <c r="O367" s="11">
        <v>678.38</v>
      </c>
      <c r="P367" s="9">
        <f>DecodeLabs[[#This Row],[Abandoned Cart]]*DecodeLabs[[#This Row],[UnitPrice]]</f>
        <v>2035.1399999999999</v>
      </c>
    </row>
    <row r="368" spans="1:16" hidden="1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9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>
        <f t="shared" si="5"/>
        <v>5</v>
      </c>
      <c r="M368" t="s">
        <v>4283</v>
      </c>
      <c r="N368" t="s">
        <v>4279</v>
      </c>
      <c r="O368" s="11">
        <v>1806.72</v>
      </c>
      <c r="P368" s="9">
        <f>DecodeLabs[[#This Row],[Abandoned Cart]]*DecodeLabs[[#This Row],[UnitPrice]]</f>
        <v>3011.2</v>
      </c>
    </row>
    <row r="369" spans="1:16" hidden="1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>
        <f t="shared" si="5"/>
        <v>5</v>
      </c>
      <c r="M369" t="s">
        <v>4276</v>
      </c>
      <c r="N369" t="s">
        <v>4278</v>
      </c>
      <c r="O369" s="11">
        <v>3293.85</v>
      </c>
      <c r="P369" s="9">
        <f>DecodeLabs[[#This Row],[Abandoned Cart]]*DecodeLabs[[#This Row],[UnitPrice]]</f>
        <v>3293.85</v>
      </c>
    </row>
    <row r="370" spans="1:16" hidden="1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9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>
        <f t="shared" si="5"/>
        <v>3</v>
      </c>
      <c r="M370" t="s">
        <v>4283</v>
      </c>
      <c r="N370" t="s">
        <v>4282</v>
      </c>
      <c r="O370" s="11">
        <v>813.06</v>
      </c>
      <c r="P370" s="9">
        <f>DecodeLabs[[#This Row],[Abandoned Cart]]*DecodeLabs[[#This Row],[UnitPrice]]</f>
        <v>813.06</v>
      </c>
    </row>
    <row r="371" spans="1:16" hidden="1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9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>
        <f t="shared" si="5"/>
        <v>4</v>
      </c>
      <c r="M371" t="s">
        <v>4275</v>
      </c>
      <c r="N371" t="s">
        <v>4280</v>
      </c>
      <c r="O371" s="11">
        <v>1876.25</v>
      </c>
      <c r="P371" s="9">
        <f>DecodeLabs[[#This Row],[Abandoned Cart]]*DecodeLabs[[#This Row],[UnitPrice]]</f>
        <v>1501</v>
      </c>
    </row>
    <row r="372" spans="1:16" hidden="1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9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>
        <f t="shared" si="5"/>
        <v>3</v>
      </c>
      <c r="M372" t="s">
        <v>4277</v>
      </c>
      <c r="N372" t="s">
        <v>4281</v>
      </c>
      <c r="O372" s="11">
        <v>312.11</v>
      </c>
      <c r="P372" s="9">
        <f>DecodeLabs[[#This Row],[Abandoned Cart]]*DecodeLabs[[#This Row],[UnitPrice]]</f>
        <v>936.33</v>
      </c>
    </row>
    <row r="373" spans="1:16" hidden="1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9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>
        <f t="shared" si="5"/>
        <v>4</v>
      </c>
      <c r="M373" t="s">
        <v>4276</v>
      </c>
      <c r="N373" t="s">
        <v>4282</v>
      </c>
      <c r="O373" s="11">
        <v>1538.8</v>
      </c>
      <c r="P373" s="9">
        <f>DecodeLabs[[#This Row],[Abandoned Cart]]*DecodeLabs[[#This Row],[UnitPrice]]</f>
        <v>1231.04</v>
      </c>
    </row>
    <row r="374" spans="1:16" hidden="1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9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>
        <f t="shared" si="5"/>
        <v>1</v>
      </c>
      <c r="M374" t="s">
        <v>4283</v>
      </c>
      <c r="N374" t="s">
        <v>4279</v>
      </c>
      <c r="O374" s="11">
        <v>1450.59</v>
      </c>
      <c r="P374" s="9">
        <f>DecodeLabs[[#This Row],[Abandoned Cart]]*DecodeLabs[[#This Row],[UnitPrice]]</f>
        <v>483.53</v>
      </c>
    </row>
    <row r="375" spans="1:16" hidden="1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9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>
        <f t="shared" si="5"/>
        <v>1</v>
      </c>
      <c r="M375" t="s">
        <v>4276</v>
      </c>
      <c r="N375" t="s">
        <v>4278</v>
      </c>
      <c r="O375" s="11">
        <v>1023.45</v>
      </c>
      <c r="P375" s="9">
        <f>DecodeLabs[[#This Row],[Abandoned Cart]]*DecodeLabs[[#This Row],[UnitPrice]]</f>
        <v>341.15</v>
      </c>
    </row>
    <row r="376" spans="1:16" hidden="1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9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>
        <f t="shared" si="5"/>
        <v>0</v>
      </c>
      <c r="M376" t="s">
        <v>4277</v>
      </c>
      <c r="N376" t="s">
        <v>4278</v>
      </c>
      <c r="O376" s="11">
        <v>571.9</v>
      </c>
      <c r="P376" s="9">
        <f>DecodeLabs[[#This Row],[Abandoned Cart]]*DecodeLabs[[#This Row],[UnitPrice]]</f>
        <v>0</v>
      </c>
    </row>
    <row r="377" spans="1:16" hidden="1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9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>
        <f t="shared" si="5"/>
        <v>4</v>
      </c>
      <c r="M377" t="s">
        <v>4276</v>
      </c>
      <c r="N377" t="s">
        <v>4281</v>
      </c>
      <c r="O377" s="11">
        <v>380.12</v>
      </c>
      <c r="P377" s="9">
        <f>DecodeLabs[[#This Row],[Abandoned Cart]]*DecodeLabs[[#This Row],[UnitPrice]]</f>
        <v>380.12</v>
      </c>
    </row>
    <row r="378" spans="1:16" hidden="1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9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>
        <f t="shared" si="5"/>
        <v>1</v>
      </c>
      <c r="M378" t="s">
        <v>4276</v>
      </c>
      <c r="N378" t="s">
        <v>4281</v>
      </c>
      <c r="O378" s="11">
        <v>1006.1</v>
      </c>
      <c r="P378" s="9">
        <f>DecodeLabs[[#This Row],[Abandoned Cart]]*DecodeLabs[[#This Row],[UnitPrice]]</f>
        <v>201.22</v>
      </c>
    </row>
    <row r="379" spans="1:16" hidden="1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>
        <f t="shared" si="5"/>
        <v>4</v>
      </c>
      <c r="M379" t="s">
        <v>4277</v>
      </c>
      <c r="N379" t="s">
        <v>4278</v>
      </c>
      <c r="O379" s="11">
        <v>260.26</v>
      </c>
      <c r="P379" s="9">
        <f>DecodeLabs[[#This Row],[Abandoned Cart]]*DecodeLabs[[#This Row],[UnitPrice]]</f>
        <v>1041.04</v>
      </c>
    </row>
    <row r="380" spans="1:16" hidden="1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9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>
        <f t="shared" si="5"/>
        <v>3</v>
      </c>
      <c r="M380" t="s">
        <v>4277</v>
      </c>
      <c r="N380" t="s">
        <v>4278</v>
      </c>
      <c r="O380" s="11">
        <v>322.5</v>
      </c>
      <c r="P380" s="9">
        <f>DecodeLabs[[#This Row],[Abandoned Cart]]*DecodeLabs[[#This Row],[UnitPrice]]</f>
        <v>193.5</v>
      </c>
    </row>
    <row r="381" spans="1:16" hidden="1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9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>
        <f t="shared" si="5"/>
        <v>3</v>
      </c>
      <c r="M381" t="s">
        <v>4283</v>
      </c>
      <c r="N381" t="s">
        <v>4282</v>
      </c>
      <c r="O381" s="11">
        <v>893.01</v>
      </c>
      <c r="P381" s="9">
        <f>DecodeLabs[[#This Row],[Abandoned Cart]]*DecodeLabs[[#This Row],[UnitPrice]]</f>
        <v>893.01</v>
      </c>
    </row>
    <row r="382" spans="1:16" hidden="1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9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>
        <f t="shared" si="5"/>
        <v>1</v>
      </c>
      <c r="M382" t="s">
        <v>4275</v>
      </c>
      <c r="N382" t="s">
        <v>4278</v>
      </c>
      <c r="O382" s="11">
        <v>1327.6</v>
      </c>
      <c r="P382" s="9">
        <f>DecodeLabs[[#This Row],[Abandoned Cart]]*DecodeLabs[[#This Row],[UnitPrice]]</f>
        <v>331.9</v>
      </c>
    </row>
    <row r="383" spans="1:16" hidden="1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9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>
        <f t="shared" si="5"/>
        <v>0</v>
      </c>
      <c r="M383" t="s">
        <v>4276</v>
      </c>
      <c r="N383" t="s">
        <v>4278</v>
      </c>
      <c r="O383" s="11">
        <v>191.76</v>
      </c>
      <c r="P383" s="9">
        <f>DecodeLabs[[#This Row],[Abandoned Cart]]*DecodeLabs[[#This Row],[UnitPrice]]</f>
        <v>0</v>
      </c>
    </row>
    <row r="384" spans="1:16" hidden="1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9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>
        <f t="shared" si="5"/>
        <v>4</v>
      </c>
      <c r="M384" t="s">
        <v>4275</v>
      </c>
      <c r="N384" t="s">
        <v>4282</v>
      </c>
      <c r="O384" s="11">
        <v>1052.3599999999999</v>
      </c>
      <c r="P384" s="9">
        <f>DecodeLabs[[#This Row],[Abandoned Cart]]*DecodeLabs[[#This Row],[UnitPrice]]</f>
        <v>1052.3599999999999</v>
      </c>
    </row>
    <row r="385" spans="1:16" hidden="1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9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>
        <f t="shared" si="5"/>
        <v>3</v>
      </c>
      <c r="M385" t="s">
        <v>4275</v>
      </c>
      <c r="N385" t="s">
        <v>4280</v>
      </c>
      <c r="O385" s="11">
        <v>1575.2</v>
      </c>
      <c r="P385" s="9">
        <f>DecodeLabs[[#This Row],[Abandoned Cart]]*DecodeLabs[[#This Row],[UnitPrice]]</f>
        <v>1181.4000000000001</v>
      </c>
    </row>
    <row r="386" spans="1:16" hidden="1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9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>
        <f t="shared" ref="L386:L449" si="6">K386-E386</f>
        <v>1</v>
      </c>
      <c r="M386" t="s">
        <v>4276</v>
      </c>
      <c r="N386" t="s">
        <v>4281</v>
      </c>
      <c r="O386" s="11">
        <v>1660.71</v>
      </c>
      <c r="P386" s="9">
        <f>DecodeLabs[[#This Row],[Abandoned Cart]]*DecodeLabs[[#This Row],[UnitPrice]]</f>
        <v>553.57000000000005</v>
      </c>
    </row>
    <row r="387" spans="1:16" hidden="1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9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>
        <f t="shared" si="6"/>
        <v>1</v>
      </c>
      <c r="M387" t="s">
        <v>4276</v>
      </c>
      <c r="N387" t="s">
        <v>4281</v>
      </c>
      <c r="O387" s="11">
        <v>958.15</v>
      </c>
      <c r="P387" s="9">
        <f>DecodeLabs[[#This Row],[Abandoned Cart]]*DecodeLabs[[#This Row],[UnitPrice]]</f>
        <v>191.63</v>
      </c>
    </row>
    <row r="388" spans="1:16" hidden="1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9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>
        <f t="shared" si="6"/>
        <v>3</v>
      </c>
      <c r="M388" t="s">
        <v>4283</v>
      </c>
      <c r="N388" t="s">
        <v>4280</v>
      </c>
      <c r="O388" s="11">
        <v>93.02</v>
      </c>
      <c r="P388" s="9">
        <f>DecodeLabs[[#This Row],[Abandoned Cart]]*DecodeLabs[[#This Row],[UnitPrice]]</f>
        <v>279.06</v>
      </c>
    </row>
    <row r="389" spans="1:16" hidden="1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>
        <f t="shared" si="6"/>
        <v>1</v>
      </c>
      <c r="M389" t="s">
        <v>4277</v>
      </c>
      <c r="N389" t="s">
        <v>4282</v>
      </c>
      <c r="O389" s="11">
        <v>79.06</v>
      </c>
      <c r="P389" s="9">
        <f>DecodeLabs[[#This Row],[Abandoned Cart]]*DecodeLabs[[#This Row],[UnitPrice]]</f>
        <v>39.53</v>
      </c>
    </row>
    <row r="390" spans="1:16" hidden="1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9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>
        <f t="shared" si="6"/>
        <v>4</v>
      </c>
      <c r="M390" t="s">
        <v>4277</v>
      </c>
      <c r="N390" t="s">
        <v>4281</v>
      </c>
      <c r="O390" s="11">
        <v>1901.91</v>
      </c>
      <c r="P390" s="9">
        <f>DecodeLabs[[#This Row],[Abandoned Cart]]*DecodeLabs[[#This Row],[UnitPrice]]</f>
        <v>2535.88</v>
      </c>
    </row>
    <row r="391" spans="1:16" hidden="1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9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>
        <f t="shared" si="6"/>
        <v>3</v>
      </c>
      <c r="M391" t="s">
        <v>4276</v>
      </c>
      <c r="N391" t="s">
        <v>4279</v>
      </c>
      <c r="O391" s="11">
        <v>2790</v>
      </c>
      <c r="P391" s="9">
        <f>DecodeLabs[[#This Row],[Abandoned Cart]]*DecodeLabs[[#This Row],[UnitPrice]]</f>
        <v>2092.5</v>
      </c>
    </row>
    <row r="392" spans="1:16" hidden="1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9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>
        <f t="shared" si="6"/>
        <v>5</v>
      </c>
      <c r="M392" t="s">
        <v>4276</v>
      </c>
      <c r="N392" t="s">
        <v>4282</v>
      </c>
      <c r="O392" s="11">
        <v>2543.4499999999998</v>
      </c>
      <c r="P392" s="9">
        <f>DecodeLabs[[#This Row],[Abandoned Cart]]*DecodeLabs[[#This Row],[UnitPrice]]</f>
        <v>2543.4499999999998</v>
      </c>
    </row>
    <row r="393" spans="1:16" hidden="1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9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>
        <f t="shared" si="6"/>
        <v>1</v>
      </c>
      <c r="M393" t="s">
        <v>4276</v>
      </c>
      <c r="N393" t="s">
        <v>4279</v>
      </c>
      <c r="O393" s="11">
        <v>1054.92</v>
      </c>
      <c r="P393" s="9">
        <f>DecodeLabs[[#This Row],[Abandoned Cart]]*DecodeLabs[[#This Row],[UnitPrice]]</f>
        <v>527.46</v>
      </c>
    </row>
    <row r="394" spans="1:16" hidden="1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9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>
        <f t="shared" si="6"/>
        <v>0</v>
      </c>
      <c r="M394" t="s">
        <v>4277</v>
      </c>
      <c r="N394" t="s">
        <v>4280</v>
      </c>
      <c r="O394" s="11">
        <v>627.20000000000005</v>
      </c>
      <c r="P394" s="9">
        <f>DecodeLabs[[#This Row],[Abandoned Cart]]*DecodeLabs[[#This Row],[UnitPrice]]</f>
        <v>0</v>
      </c>
    </row>
    <row r="395" spans="1:16" hidden="1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9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>
        <f t="shared" si="6"/>
        <v>2</v>
      </c>
      <c r="M395" t="s">
        <v>4283</v>
      </c>
      <c r="N395" t="s">
        <v>4282</v>
      </c>
      <c r="O395" s="11">
        <v>75.010000000000005</v>
      </c>
      <c r="P395" s="9">
        <f>DecodeLabs[[#This Row],[Abandoned Cart]]*DecodeLabs[[#This Row],[UnitPrice]]</f>
        <v>150.02000000000001</v>
      </c>
    </row>
    <row r="396" spans="1:16" hidden="1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9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>
        <f t="shared" si="6"/>
        <v>5</v>
      </c>
      <c r="M396" t="s">
        <v>4283</v>
      </c>
      <c r="N396" t="s">
        <v>4281</v>
      </c>
      <c r="O396" s="11">
        <v>2647.75</v>
      </c>
      <c r="P396" s="9">
        <f>DecodeLabs[[#This Row],[Abandoned Cart]]*DecodeLabs[[#This Row],[UnitPrice]]</f>
        <v>2647.75</v>
      </c>
    </row>
    <row r="397" spans="1:16" hidden="1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9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>
        <f t="shared" si="6"/>
        <v>4</v>
      </c>
      <c r="M397" t="s">
        <v>4275</v>
      </c>
      <c r="N397" t="s">
        <v>4279</v>
      </c>
      <c r="O397" s="11">
        <v>382.23</v>
      </c>
      <c r="P397" s="9">
        <f>DecodeLabs[[#This Row],[Abandoned Cart]]*DecodeLabs[[#This Row],[UnitPrice]]</f>
        <v>509.64</v>
      </c>
    </row>
    <row r="398" spans="1:16" hidden="1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9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>
        <f t="shared" si="6"/>
        <v>5</v>
      </c>
      <c r="M398" t="s">
        <v>4275</v>
      </c>
      <c r="N398" t="s">
        <v>4280</v>
      </c>
      <c r="O398" s="11">
        <v>1435.65</v>
      </c>
      <c r="P398" s="9">
        <f>DecodeLabs[[#This Row],[Abandoned Cart]]*DecodeLabs[[#This Row],[UnitPrice]]</f>
        <v>1435.65</v>
      </c>
    </row>
    <row r="399" spans="1:16" hidden="1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>
        <f t="shared" si="6"/>
        <v>0</v>
      </c>
      <c r="M399" t="s">
        <v>4277</v>
      </c>
      <c r="N399" t="s">
        <v>4279</v>
      </c>
      <c r="O399" s="11">
        <v>427.06</v>
      </c>
      <c r="P399" s="9">
        <f>DecodeLabs[[#This Row],[Abandoned Cart]]*DecodeLabs[[#This Row],[UnitPrice]]</f>
        <v>0</v>
      </c>
    </row>
    <row r="400" spans="1:16" hidden="1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9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>
        <f t="shared" si="6"/>
        <v>2</v>
      </c>
      <c r="M400" t="s">
        <v>4275</v>
      </c>
      <c r="N400" t="s">
        <v>4278</v>
      </c>
      <c r="O400" s="11">
        <v>269.64999999999998</v>
      </c>
      <c r="P400" s="9">
        <f>DecodeLabs[[#This Row],[Abandoned Cart]]*DecodeLabs[[#This Row],[UnitPrice]]</f>
        <v>107.86</v>
      </c>
    </row>
    <row r="401" spans="1:16" hidden="1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9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>
        <f t="shared" si="6"/>
        <v>0</v>
      </c>
      <c r="M401" t="s">
        <v>4276</v>
      </c>
      <c r="N401" t="s">
        <v>4281</v>
      </c>
      <c r="O401" s="11">
        <v>2119.65</v>
      </c>
      <c r="P401" s="9">
        <f>DecodeLabs[[#This Row],[Abandoned Cart]]*DecodeLabs[[#This Row],[UnitPrice]]</f>
        <v>0</v>
      </c>
    </row>
    <row r="402" spans="1:16" hidden="1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9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>
        <f t="shared" si="6"/>
        <v>5</v>
      </c>
      <c r="M402" t="s">
        <v>4277</v>
      </c>
      <c r="N402" t="s">
        <v>4278</v>
      </c>
      <c r="O402" s="11">
        <v>640.88</v>
      </c>
      <c r="P402" s="9">
        <f>DecodeLabs[[#This Row],[Abandoned Cart]]*DecodeLabs[[#This Row],[UnitPrice]]</f>
        <v>801.1</v>
      </c>
    </row>
    <row r="403" spans="1:16" hidden="1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9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>
        <f t="shared" si="6"/>
        <v>5</v>
      </c>
      <c r="M403" t="s">
        <v>4283</v>
      </c>
      <c r="N403" t="s">
        <v>4279</v>
      </c>
      <c r="O403" s="11">
        <v>538.67999999999995</v>
      </c>
      <c r="P403" s="9">
        <f>DecodeLabs[[#This Row],[Abandoned Cart]]*DecodeLabs[[#This Row],[UnitPrice]]</f>
        <v>2693.3999999999996</v>
      </c>
    </row>
    <row r="404" spans="1:16" hidden="1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9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>
        <f t="shared" si="6"/>
        <v>0</v>
      </c>
      <c r="M404" t="s">
        <v>4283</v>
      </c>
      <c r="N404" t="s">
        <v>4279</v>
      </c>
      <c r="O404" s="11">
        <v>1686.9</v>
      </c>
      <c r="P404" s="9">
        <f>DecodeLabs[[#This Row],[Abandoned Cart]]*DecodeLabs[[#This Row],[UnitPrice]]</f>
        <v>0</v>
      </c>
    </row>
    <row r="405" spans="1:16" hidden="1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9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>
        <f t="shared" si="6"/>
        <v>0</v>
      </c>
      <c r="M405" t="s">
        <v>4276</v>
      </c>
      <c r="N405" t="s">
        <v>4279</v>
      </c>
      <c r="O405" s="11">
        <v>620.21</v>
      </c>
      <c r="P405" s="9">
        <f>DecodeLabs[[#This Row],[Abandoned Cart]]*DecodeLabs[[#This Row],[UnitPrice]]</f>
        <v>0</v>
      </c>
    </row>
    <row r="406" spans="1:16" hidden="1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9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>
        <f t="shared" si="6"/>
        <v>4</v>
      </c>
      <c r="M406" t="s">
        <v>4283</v>
      </c>
      <c r="N406" t="s">
        <v>4278</v>
      </c>
      <c r="O406" s="11">
        <v>198.2</v>
      </c>
      <c r="P406" s="9">
        <f>DecodeLabs[[#This Row],[Abandoned Cart]]*DecodeLabs[[#This Row],[UnitPrice]]</f>
        <v>396.4</v>
      </c>
    </row>
    <row r="407" spans="1:16" hidden="1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9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>
        <f t="shared" si="6"/>
        <v>3</v>
      </c>
      <c r="M407" t="s">
        <v>4277</v>
      </c>
      <c r="N407" t="s">
        <v>4280</v>
      </c>
      <c r="O407" s="11">
        <v>1807.88</v>
      </c>
      <c r="P407" s="9">
        <f>DecodeLabs[[#This Row],[Abandoned Cart]]*DecodeLabs[[#This Row],[UnitPrice]]</f>
        <v>1355.91</v>
      </c>
    </row>
    <row r="408" spans="1:16" hidden="1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9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>
        <f t="shared" si="6"/>
        <v>5</v>
      </c>
      <c r="M408" t="s">
        <v>4277</v>
      </c>
      <c r="N408" t="s">
        <v>4282</v>
      </c>
      <c r="O408" s="11">
        <v>264.39999999999998</v>
      </c>
      <c r="P408" s="9">
        <f>DecodeLabs[[#This Row],[Abandoned Cart]]*DecodeLabs[[#This Row],[UnitPrice]]</f>
        <v>330.5</v>
      </c>
    </row>
    <row r="409" spans="1:16" hidden="1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>
        <f t="shared" si="6"/>
        <v>4</v>
      </c>
      <c r="M409" t="s">
        <v>4276</v>
      </c>
      <c r="N409" t="s">
        <v>4278</v>
      </c>
      <c r="O409" s="11">
        <v>2189.2800000000002</v>
      </c>
      <c r="P409" s="9">
        <f>DecodeLabs[[#This Row],[Abandoned Cart]]*DecodeLabs[[#This Row],[UnitPrice]]</f>
        <v>2189.2800000000002</v>
      </c>
    </row>
    <row r="410" spans="1:16" hidden="1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9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>
        <f t="shared" si="6"/>
        <v>3</v>
      </c>
      <c r="M410" t="s">
        <v>4277</v>
      </c>
      <c r="N410" t="s">
        <v>4282</v>
      </c>
      <c r="O410" s="11">
        <v>1237.5899999999999</v>
      </c>
      <c r="P410" s="9">
        <f>DecodeLabs[[#This Row],[Abandoned Cart]]*DecodeLabs[[#This Row],[UnitPrice]]</f>
        <v>1237.5899999999999</v>
      </c>
    </row>
    <row r="411" spans="1:16" hidden="1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9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>
        <f t="shared" si="6"/>
        <v>4</v>
      </c>
      <c r="M411" t="s">
        <v>4275</v>
      </c>
      <c r="N411" t="s">
        <v>4282</v>
      </c>
      <c r="O411" s="11">
        <v>420.65</v>
      </c>
      <c r="P411" s="9">
        <f>DecodeLabs[[#This Row],[Abandoned Cart]]*DecodeLabs[[#This Row],[UnitPrice]]</f>
        <v>336.52</v>
      </c>
    </row>
    <row r="412" spans="1:16" hidden="1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9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>
        <f t="shared" si="6"/>
        <v>3</v>
      </c>
      <c r="M412" t="s">
        <v>4283</v>
      </c>
      <c r="N412" t="s">
        <v>4280</v>
      </c>
      <c r="O412" s="11">
        <v>1036.46</v>
      </c>
      <c r="P412" s="9">
        <f>DecodeLabs[[#This Row],[Abandoned Cart]]*DecodeLabs[[#This Row],[UnitPrice]]</f>
        <v>1554.69</v>
      </c>
    </row>
    <row r="413" spans="1:16" hidden="1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9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>
        <f t="shared" si="6"/>
        <v>3</v>
      </c>
      <c r="M413" t="s">
        <v>4283</v>
      </c>
      <c r="N413" t="s">
        <v>4281</v>
      </c>
      <c r="O413" s="11">
        <v>79.02</v>
      </c>
      <c r="P413" s="9">
        <f>DecodeLabs[[#This Row],[Abandoned Cart]]*DecodeLabs[[#This Row],[UnitPrice]]</f>
        <v>118.53</v>
      </c>
    </row>
    <row r="414" spans="1:16" hidden="1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9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>
        <f t="shared" si="6"/>
        <v>5</v>
      </c>
      <c r="M414" t="s">
        <v>4283</v>
      </c>
      <c r="N414" t="s">
        <v>4281</v>
      </c>
      <c r="O414" s="11">
        <v>665.05</v>
      </c>
      <c r="P414" s="9">
        <f>DecodeLabs[[#This Row],[Abandoned Cart]]*DecodeLabs[[#This Row],[UnitPrice]]</f>
        <v>665.05</v>
      </c>
    </row>
    <row r="415" spans="1:16" hidden="1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9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>
        <f t="shared" si="6"/>
        <v>5</v>
      </c>
      <c r="M415" t="s">
        <v>4275</v>
      </c>
      <c r="N415" t="s">
        <v>4280</v>
      </c>
      <c r="O415" s="11">
        <v>118.8</v>
      </c>
      <c r="P415" s="9">
        <f>DecodeLabs[[#This Row],[Abandoned Cart]]*DecodeLabs[[#This Row],[UnitPrice]]</f>
        <v>594</v>
      </c>
    </row>
    <row r="416" spans="1:16" hidden="1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9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>
        <f t="shared" si="6"/>
        <v>2</v>
      </c>
      <c r="M416" t="s">
        <v>4277</v>
      </c>
      <c r="N416" t="s">
        <v>4281</v>
      </c>
      <c r="O416" s="11">
        <v>279.14</v>
      </c>
      <c r="P416" s="9">
        <f>DecodeLabs[[#This Row],[Abandoned Cart]]*DecodeLabs[[#This Row],[UnitPrice]]</f>
        <v>279.14</v>
      </c>
    </row>
    <row r="417" spans="1:16" hidden="1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9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>
        <f t="shared" si="6"/>
        <v>4</v>
      </c>
      <c r="M417" t="s">
        <v>4276</v>
      </c>
      <c r="N417" t="s">
        <v>4281</v>
      </c>
      <c r="O417" s="11">
        <v>184.15</v>
      </c>
      <c r="P417" s="9">
        <f>DecodeLabs[[#This Row],[Abandoned Cart]]*DecodeLabs[[#This Row],[UnitPrice]]</f>
        <v>736.6</v>
      </c>
    </row>
    <row r="418" spans="1:16" hidden="1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9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>
        <f t="shared" si="6"/>
        <v>3</v>
      </c>
      <c r="M418" t="s">
        <v>4277</v>
      </c>
      <c r="N418" t="s">
        <v>4279</v>
      </c>
      <c r="O418" s="11">
        <v>1288.0999999999999</v>
      </c>
      <c r="P418" s="9">
        <f>DecodeLabs[[#This Row],[Abandoned Cart]]*DecodeLabs[[#This Row],[UnitPrice]]</f>
        <v>1932.1499999999999</v>
      </c>
    </row>
    <row r="419" spans="1:16" hidden="1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>
        <f t="shared" si="6"/>
        <v>0</v>
      </c>
      <c r="M419" t="s">
        <v>4283</v>
      </c>
      <c r="N419" t="s">
        <v>4282</v>
      </c>
      <c r="O419" s="11">
        <v>277.05</v>
      </c>
      <c r="P419" s="9">
        <f>DecodeLabs[[#This Row],[Abandoned Cart]]*DecodeLabs[[#This Row],[UnitPrice]]</f>
        <v>0</v>
      </c>
    </row>
    <row r="420" spans="1:16" hidden="1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9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>
        <f t="shared" si="6"/>
        <v>2</v>
      </c>
      <c r="M420" t="s">
        <v>4283</v>
      </c>
      <c r="N420" t="s">
        <v>4281</v>
      </c>
      <c r="O420" s="11">
        <v>310.93</v>
      </c>
      <c r="P420" s="9">
        <f>DecodeLabs[[#This Row],[Abandoned Cart]]*DecodeLabs[[#This Row],[UnitPrice]]</f>
        <v>621.86</v>
      </c>
    </row>
    <row r="421" spans="1:16" hidden="1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9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>
        <f t="shared" si="6"/>
        <v>4</v>
      </c>
      <c r="M421" t="s">
        <v>4276</v>
      </c>
      <c r="N421" t="s">
        <v>4278</v>
      </c>
      <c r="O421" s="11">
        <v>433.32</v>
      </c>
      <c r="P421" s="9">
        <f>DecodeLabs[[#This Row],[Abandoned Cart]]*DecodeLabs[[#This Row],[UnitPrice]]</f>
        <v>866.64</v>
      </c>
    </row>
    <row r="422" spans="1:16" hidden="1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9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>
        <f t="shared" si="6"/>
        <v>4</v>
      </c>
      <c r="M422" t="s">
        <v>4276</v>
      </c>
      <c r="N422" t="s">
        <v>4278</v>
      </c>
      <c r="O422" s="11">
        <v>452.7</v>
      </c>
      <c r="P422" s="9">
        <f>DecodeLabs[[#This Row],[Abandoned Cart]]*DecodeLabs[[#This Row],[UnitPrice]]</f>
        <v>1810.8</v>
      </c>
    </row>
    <row r="423" spans="1:16" hidden="1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9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>
        <f t="shared" si="6"/>
        <v>3</v>
      </c>
      <c r="M423" t="s">
        <v>4283</v>
      </c>
      <c r="N423" t="s">
        <v>4280</v>
      </c>
      <c r="O423" s="11">
        <v>576.41999999999996</v>
      </c>
      <c r="P423" s="9">
        <f>DecodeLabs[[#This Row],[Abandoned Cart]]*DecodeLabs[[#This Row],[UnitPrice]]</f>
        <v>864.62999999999988</v>
      </c>
    </row>
    <row r="424" spans="1:16" hidden="1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9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>
        <f t="shared" si="6"/>
        <v>2</v>
      </c>
      <c r="M424" t="s">
        <v>4277</v>
      </c>
      <c r="N424" t="s">
        <v>4279</v>
      </c>
      <c r="O424" s="11">
        <v>826.4</v>
      </c>
      <c r="P424" s="9">
        <f>DecodeLabs[[#This Row],[Abandoned Cart]]*DecodeLabs[[#This Row],[UnitPrice]]</f>
        <v>413.2</v>
      </c>
    </row>
    <row r="425" spans="1:16" hidden="1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9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>
        <f t="shared" si="6"/>
        <v>2</v>
      </c>
      <c r="M425" t="s">
        <v>4277</v>
      </c>
      <c r="N425" t="s">
        <v>4282</v>
      </c>
      <c r="O425" s="11">
        <v>2740.8</v>
      </c>
      <c r="P425" s="9">
        <f>DecodeLabs[[#This Row],[Abandoned Cart]]*DecodeLabs[[#This Row],[UnitPrice]]</f>
        <v>1370.4</v>
      </c>
    </row>
    <row r="426" spans="1:16" hidden="1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9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>
        <f t="shared" si="6"/>
        <v>5</v>
      </c>
      <c r="M426" t="s">
        <v>4283</v>
      </c>
      <c r="N426" t="s">
        <v>4280</v>
      </c>
      <c r="O426" s="11">
        <v>114.7</v>
      </c>
      <c r="P426" s="9">
        <f>DecodeLabs[[#This Row],[Abandoned Cart]]*DecodeLabs[[#This Row],[UnitPrice]]</f>
        <v>114.7</v>
      </c>
    </row>
    <row r="427" spans="1:16" hidden="1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9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>
        <f t="shared" si="6"/>
        <v>3</v>
      </c>
      <c r="M427" t="s">
        <v>4277</v>
      </c>
      <c r="N427" t="s">
        <v>4280</v>
      </c>
      <c r="O427" s="11">
        <v>603.76</v>
      </c>
      <c r="P427" s="9">
        <f>DecodeLabs[[#This Row],[Abandoned Cart]]*DecodeLabs[[#This Row],[UnitPrice]]</f>
        <v>905.64</v>
      </c>
    </row>
    <row r="428" spans="1:16" hidden="1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9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>
        <f t="shared" si="6"/>
        <v>5</v>
      </c>
      <c r="M428" t="s">
        <v>4283</v>
      </c>
      <c r="N428" t="s">
        <v>4281</v>
      </c>
      <c r="O428" s="11">
        <v>287.25</v>
      </c>
      <c r="P428" s="9">
        <f>DecodeLabs[[#This Row],[Abandoned Cart]]*DecodeLabs[[#This Row],[UnitPrice]]</f>
        <v>287.25</v>
      </c>
    </row>
    <row r="429" spans="1:16" hidden="1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>
        <f t="shared" si="6"/>
        <v>2</v>
      </c>
      <c r="M429" t="s">
        <v>4277</v>
      </c>
      <c r="N429" t="s">
        <v>4278</v>
      </c>
      <c r="O429" s="11">
        <v>161.24</v>
      </c>
      <c r="P429" s="9">
        <f>DecodeLabs[[#This Row],[Abandoned Cart]]*DecodeLabs[[#This Row],[UnitPrice]]</f>
        <v>322.48</v>
      </c>
    </row>
    <row r="430" spans="1:16" hidden="1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9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>
        <f t="shared" si="6"/>
        <v>4</v>
      </c>
      <c r="M430" t="s">
        <v>4277</v>
      </c>
      <c r="N430" t="s">
        <v>4280</v>
      </c>
      <c r="O430" s="11">
        <v>1050.32</v>
      </c>
      <c r="P430" s="9">
        <f>DecodeLabs[[#This Row],[Abandoned Cart]]*DecodeLabs[[#This Row],[UnitPrice]]</f>
        <v>1050.32</v>
      </c>
    </row>
    <row r="431" spans="1:16" hidden="1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9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>
        <f t="shared" si="6"/>
        <v>5</v>
      </c>
      <c r="M431" t="s">
        <v>4275</v>
      </c>
      <c r="N431" t="s">
        <v>4281</v>
      </c>
      <c r="O431" s="11">
        <v>2060.7600000000002</v>
      </c>
      <c r="P431" s="9">
        <f>DecodeLabs[[#This Row],[Abandoned Cart]]*DecodeLabs[[#This Row],[UnitPrice]]</f>
        <v>2575.9500000000003</v>
      </c>
    </row>
    <row r="432" spans="1:16" hidden="1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9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>
        <f t="shared" si="6"/>
        <v>5</v>
      </c>
      <c r="M432" t="s">
        <v>4276</v>
      </c>
      <c r="N432" t="s">
        <v>4282</v>
      </c>
      <c r="O432" s="11">
        <v>450.07</v>
      </c>
      <c r="P432" s="9">
        <f>DecodeLabs[[#This Row],[Abandoned Cart]]*DecodeLabs[[#This Row],[UnitPrice]]</f>
        <v>2250.35</v>
      </c>
    </row>
    <row r="433" spans="1:16" hidden="1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9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>
        <f t="shared" si="6"/>
        <v>5</v>
      </c>
      <c r="M433" t="s">
        <v>4277</v>
      </c>
      <c r="N433" t="s">
        <v>4281</v>
      </c>
      <c r="O433" s="11">
        <v>52.54</v>
      </c>
      <c r="P433" s="9">
        <f>DecodeLabs[[#This Row],[Abandoned Cart]]*DecodeLabs[[#This Row],[UnitPrice]]</f>
        <v>262.7</v>
      </c>
    </row>
    <row r="434" spans="1:16" hidden="1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9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>
        <f t="shared" si="6"/>
        <v>4</v>
      </c>
      <c r="M434" t="s">
        <v>4283</v>
      </c>
      <c r="N434" t="s">
        <v>4279</v>
      </c>
      <c r="O434" s="11">
        <v>848.64</v>
      </c>
      <c r="P434" s="9">
        <f>DecodeLabs[[#This Row],[Abandoned Cart]]*DecodeLabs[[#This Row],[UnitPrice]]</f>
        <v>1697.28</v>
      </c>
    </row>
    <row r="435" spans="1:16" hidden="1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9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>
        <f t="shared" si="6"/>
        <v>0</v>
      </c>
      <c r="M435" t="s">
        <v>4276</v>
      </c>
      <c r="N435" t="s">
        <v>4281</v>
      </c>
      <c r="O435" s="11">
        <v>1894.92</v>
      </c>
      <c r="P435" s="9">
        <f>DecodeLabs[[#This Row],[Abandoned Cart]]*DecodeLabs[[#This Row],[UnitPrice]]</f>
        <v>0</v>
      </c>
    </row>
    <row r="436" spans="1:16" hidden="1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9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>
        <f t="shared" si="6"/>
        <v>1</v>
      </c>
      <c r="M436" t="s">
        <v>4283</v>
      </c>
      <c r="N436" t="s">
        <v>4281</v>
      </c>
      <c r="O436" s="11">
        <v>1638.4</v>
      </c>
      <c r="P436" s="9">
        <f>DecodeLabs[[#This Row],[Abandoned Cart]]*DecodeLabs[[#This Row],[UnitPrice]]</f>
        <v>327.68</v>
      </c>
    </row>
    <row r="437" spans="1:16" hidden="1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9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>
        <f t="shared" si="6"/>
        <v>2</v>
      </c>
      <c r="M437" t="s">
        <v>4276</v>
      </c>
      <c r="N437" t="s">
        <v>4278</v>
      </c>
      <c r="O437" s="11">
        <v>414.47</v>
      </c>
      <c r="P437" s="9">
        <f>DecodeLabs[[#This Row],[Abandoned Cart]]*DecodeLabs[[#This Row],[UnitPrice]]</f>
        <v>828.94</v>
      </c>
    </row>
    <row r="438" spans="1:16" hidden="1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9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>
        <f t="shared" si="6"/>
        <v>1</v>
      </c>
      <c r="M438" t="s">
        <v>4283</v>
      </c>
      <c r="N438" t="s">
        <v>4282</v>
      </c>
      <c r="O438" s="11">
        <v>885.32</v>
      </c>
      <c r="P438" s="9">
        <f>DecodeLabs[[#This Row],[Abandoned Cart]]*DecodeLabs[[#This Row],[UnitPrice]]</f>
        <v>221.33</v>
      </c>
    </row>
    <row r="439" spans="1:16" hidden="1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>
        <f t="shared" si="6"/>
        <v>1</v>
      </c>
      <c r="M439" t="s">
        <v>4276</v>
      </c>
      <c r="N439" t="s">
        <v>4278</v>
      </c>
      <c r="O439" s="11">
        <v>512.39</v>
      </c>
      <c r="P439" s="9">
        <f>DecodeLabs[[#This Row],[Abandoned Cart]]*DecodeLabs[[#This Row],[UnitPrice]]</f>
        <v>512.39</v>
      </c>
    </row>
    <row r="440" spans="1:16" hidden="1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9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>
        <f t="shared" si="6"/>
        <v>0</v>
      </c>
      <c r="M440" t="s">
        <v>4275</v>
      </c>
      <c r="N440" t="s">
        <v>4278</v>
      </c>
      <c r="O440" s="11">
        <v>1378.02</v>
      </c>
      <c r="P440" s="9">
        <f>DecodeLabs[[#This Row],[Abandoned Cart]]*DecodeLabs[[#This Row],[UnitPrice]]</f>
        <v>0</v>
      </c>
    </row>
    <row r="441" spans="1:16" hidden="1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9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>
        <f t="shared" si="6"/>
        <v>3</v>
      </c>
      <c r="M441" t="s">
        <v>4277</v>
      </c>
      <c r="N441" t="s">
        <v>4281</v>
      </c>
      <c r="O441" s="11">
        <v>146.32</v>
      </c>
      <c r="P441" s="9">
        <f>DecodeLabs[[#This Row],[Abandoned Cart]]*DecodeLabs[[#This Row],[UnitPrice]]</f>
        <v>438.96</v>
      </c>
    </row>
    <row r="442" spans="1:16" hidden="1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9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>
        <f t="shared" si="6"/>
        <v>0</v>
      </c>
      <c r="M442" t="s">
        <v>4275</v>
      </c>
      <c r="N442" t="s">
        <v>4281</v>
      </c>
      <c r="O442" s="11">
        <v>334.4</v>
      </c>
      <c r="P442" s="9">
        <f>DecodeLabs[[#This Row],[Abandoned Cart]]*DecodeLabs[[#This Row],[UnitPrice]]</f>
        <v>0</v>
      </c>
    </row>
    <row r="443" spans="1:16" hidden="1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9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>
        <f t="shared" si="6"/>
        <v>4</v>
      </c>
      <c r="M443" t="s">
        <v>4276</v>
      </c>
      <c r="N443" t="s">
        <v>4280</v>
      </c>
      <c r="O443" s="11">
        <v>657.08</v>
      </c>
      <c r="P443" s="9">
        <f>DecodeLabs[[#This Row],[Abandoned Cart]]*DecodeLabs[[#This Row],[UnitPrice]]</f>
        <v>1314.16</v>
      </c>
    </row>
    <row r="444" spans="1:16" hidden="1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9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>
        <f t="shared" si="6"/>
        <v>3</v>
      </c>
      <c r="M444" t="s">
        <v>4275</v>
      </c>
      <c r="N444" t="s">
        <v>4278</v>
      </c>
      <c r="O444" s="11">
        <v>1574.7</v>
      </c>
      <c r="P444" s="9">
        <f>DecodeLabs[[#This Row],[Abandoned Cart]]*DecodeLabs[[#This Row],[UnitPrice]]</f>
        <v>944.81999999999994</v>
      </c>
    </row>
    <row r="445" spans="1:16" hidden="1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9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>
        <f t="shared" si="6"/>
        <v>4</v>
      </c>
      <c r="M445" t="s">
        <v>4283</v>
      </c>
      <c r="N445" t="s">
        <v>4281</v>
      </c>
      <c r="O445" s="11">
        <v>139.28</v>
      </c>
      <c r="P445" s="9">
        <f>DecodeLabs[[#This Row],[Abandoned Cart]]*DecodeLabs[[#This Row],[UnitPrice]]</f>
        <v>278.56</v>
      </c>
    </row>
    <row r="446" spans="1:16" hidden="1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9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>
        <f t="shared" si="6"/>
        <v>5</v>
      </c>
      <c r="M446" t="s">
        <v>4276</v>
      </c>
      <c r="N446" t="s">
        <v>4278</v>
      </c>
      <c r="O446" s="11">
        <v>135.16999999999999</v>
      </c>
      <c r="P446" s="9">
        <f>DecodeLabs[[#This Row],[Abandoned Cart]]*DecodeLabs[[#This Row],[UnitPrice]]</f>
        <v>675.84999999999991</v>
      </c>
    </row>
    <row r="447" spans="1:16" hidden="1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9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>
        <f t="shared" si="6"/>
        <v>2</v>
      </c>
      <c r="M447" t="s">
        <v>4275</v>
      </c>
      <c r="N447" t="s">
        <v>4279</v>
      </c>
      <c r="O447" s="11">
        <v>487.21</v>
      </c>
      <c r="P447" s="9">
        <f>DecodeLabs[[#This Row],[Abandoned Cart]]*DecodeLabs[[#This Row],[UnitPrice]]</f>
        <v>974.42</v>
      </c>
    </row>
    <row r="448" spans="1:16" hidden="1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9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>
        <f t="shared" si="6"/>
        <v>1</v>
      </c>
      <c r="M448" t="s">
        <v>4276</v>
      </c>
      <c r="N448" t="s">
        <v>4278</v>
      </c>
      <c r="O448" s="11">
        <v>2547.9</v>
      </c>
      <c r="P448" s="9">
        <f>DecodeLabs[[#This Row],[Abandoned Cart]]*DecodeLabs[[#This Row],[UnitPrice]]</f>
        <v>509.58</v>
      </c>
    </row>
    <row r="449" spans="1:16" hidden="1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>
        <f t="shared" si="6"/>
        <v>0</v>
      </c>
      <c r="M449" t="s">
        <v>4283</v>
      </c>
      <c r="N449" t="s">
        <v>4281</v>
      </c>
      <c r="O449" s="11">
        <v>833.62</v>
      </c>
      <c r="P449" s="9">
        <f>DecodeLabs[[#This Row],[Abandoned Cart]]*DecodeLabs[[#This Row],[UnitPrice]]</f>
        <v>0</v>
      </c>
    </row>
    <row r="450" spans="1:16" hidden="1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9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>
        <f t="shared" ref="L450:L513" si="7">K450-E450</f>
        <v>2</v>
      </c>
      <c r="M450" t="s">
        <v>4275</v>
      </c>
      <c r="N450" t="s">
        <v>4278</v>
      </c>
      <c r="O450" s="11">
        <v>320</v>
      </c>
      <c r="P450" s="9">
        <f>DecodeLabs[[#This Row],[Abandoned Cart]]*DecodeLabs[[#This Row],[UnitPrice]]</f>
        <v>320</v>
      </c>
    </row>
    <row r="451" spans="1:16" hidden="1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9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>
        <f t="shared" si="7"/>
        <v>0</v>
      </c>
      <c r="M451" t="s">
        <v>4283</v>
      </c>
      <c r="N451" t="s">
        <v>4278</v>
      </c>
      <c r="O451" s="11">
        <v>759.15000000000009</v>
      </c>
      <c r="P451" s="9">
        <f>DecodeLabs[[#This Row],[Abandoned Cart]]*DecodeLabs[[#This Row],[UnitPrice]]</f>
        <v>0</v>
      </c>
    </row>
    <row r="452" spans="1:16" hidden="1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9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>
        <f t="shared" si="7"/>
        <v>5</v>
      </c>
      <c r="M452" t="s">
        <v>4277</v>
      </c>
      <c r="N452" t="s">
        <v>4278</v>
      </c>
      <c r="O452" s="11">
        <v>3075.5</v>
      </c>
      <c r="P452" s="9">
        <f>DecodeLabs[[#This Row],[Abandoned Cart]]*DecodeLabs[[#This Row],[UnitPrice]]</f>
        <v>3075.5</v>
      </c>
    </row>
    <row r="453" spans="1:16" hidden="1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9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>
        <f t="shared" si="7"/>
        <v>5</v>
      </c>
      <c r="M453" t="s">
        <v>4275</v>
      </c>
      <c r="N453" t="s">
        <v>4280</v>
      </c>
      <c r="O453" s="11">
        <v>183.18</v>
      </c>
      <c r="P453" s="9">
        <f>DecodeLabs[[#This Row],[Abandoned Cart]]*DecodeLabs[[#This Row],[UnitPrice]]</f>
        <v>915.90000000000009</v>
      </c>
    </row>
    <row r="454" spans="1:16" hidden="1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9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>
        <f t="shared" si="7"/>
        <v>4</v>
      </c>
      <c r="M454" t="s">
        <v>4275</v>
      </c>
      <c r="N454" t="s">
        <v>4282</v>
      </c>
      <c r="O454" s="11">
        <v>75.78</v>
      </c>
      <c r="P454" s="9">
        <f>DecodeLabs[[#This Row],[Abandoned Cart]]*DecodeLabs[[#This Row],[UnitPrice]]</f>
        <v>303.12</v>
      </c>
    </row>
    <row r="455" spans="1:16" hidden="1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9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>
        <f t="shared" si="7"/>
        <v>0</v>
      </c>
      <c r="M455" t="s">
        <v>4277</v>
      </c>
      <c r="N455" t="s">
        <v>4281</v>
      </c>
      <c r="O455" s="11">
        <v>675.57</v>
      </c>
      <c r="P455" s="9">
        <f>DecodeLabs[[#This Row],[Abandoned Cart]]*DecodeLabs[[#This Row],[UnitPrice]]</f>
        <v>0</v>
      </c>
    </row>
    <row r="456" spans="1:16" hidden="1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9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>
        <f t="shared" si="7"/>
        <v>4</v>
      </c>
      <c r="M456" t="s">
        <v>4276</v>
      </c>
      <c r="N456" t="s">
        <v>4282</v>
      </c>
      <c r="O456" s="11">
        <v>109.29</v>
      </c>
      <c r="P456" s="9">
        <f>DecodeLabs[[#This Row],[Abandoned Cart]]*DecodeLabs[[#This Row],[UnitPrice]]</f>
        <v>437.16</v>
      </c>
    </row>
    <row r="457" spans="1:16" hidden="1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9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>
        <f t="shared" si="7"/>
        <v>1</v>
      </c>
      <c r="M457" t="s">
        <v>4275</v>
      </c>
      <c r="N457" t="s">
        <v>4279</v>
      </c>
      <c r="O457" s="11">
        <v>639.83000000000004</v>
      </c>
      <c r="P457" s="9">
        <f>DecodeLabs[[#This Row],[Abandoned Cart]]*DecodeLabs[[#This Row],[UnitPrice]]</f>
        <v>639.83000000000004</v>
      </c>
    </row>
    <row r="458" spans="1:16" hidden="1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9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>
        <f t="shared" si="7"/>
        <v>4</v>
      </c>
      <c r="M458" t="s">
        <v>4275</v>
      </c>
      <c r="N458" t="s">
        <v>4281</v>
      </c>
      <c r="O458" s="11">
        <v>314.05</v>
      </c>
      <c r="P458" s="9">
        <f>DecodeLabs[[#This Row],[Abandoned Cart]]*DecodeLabs[[#This Row],[UnitPrice]]</f>
        <v>251.24</v>
      </c>
    </row>
    <row r="459" spans="1:16" hidden="1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>
        <f t="shared" si="7"/>
        <v>0</v>
      </c>
      <c r="M459" t="s">
        <v>4277</v>
      </c>
      <c r="N459" t="s">
        <v>4278</v>
      </c>
      <c r="O459" s="11">
        <v>2463.3200000000002</v>
      </c>
      <c r="P459" s="9">
        <f>DecodeLabs[[#This Row],[Abandoned Cart]]*DecodeLabs[[#This Row],[UnitPrice]]</f>
        <v>0</v>
      </c>
    </row>
    <row r="460" spans="1:16" hidden="1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9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>
        <f t="shared" si="7"/>
        <v>3</v>
      </c>
      <c r="M460" t="s">
        <v>4277</v>
      </c>
      <c r="N460" t="s">
        <v>4280</v>
      </c>
      <c r="O460" s="11">
        <v>2042.32</v>
      </c>
      <c r="P460" s="9">
        <f>DecodeLabs[[#This Row],[Abandoned Cart]]*DecodeLabs[[#This Row],[UnitPrice]]</f>
        <v>1531.74</v>
      </c>
    </row>
    <row r="461" spans="1:16" hidden="1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9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>
        <f t="shared" si="7"/>
        <v>1</v>
      </c>
      <c r="M461" t="s">
        <v>4283</v>
      </c>
      <c r="N461" t="s">
        <v>4278</v>
      </c>
      <c r="O461" s="11">
        <v>334.39</v>
      </c>
      <c r="P461" s="9">
        <f>DecodeLabs[[#This Row],[Abandoned Cart]]*DecodeLabs[[#This Row],[UnitPrice]]</f>
        <v>334.39</v>
      </c>
    </row>
    <row r="462" spans="1:16" hidden="1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9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>
        <f t="shared" si="7"/>
        <v>1</v>
      </c>
      <c r="M462" t="s">
        <v>4277</v>
      </c>
      <c r="N462" t="s">
        <v>4279</v>
      </c>
      <c r="O462" s="11">
        <v>144.25</v>
      </c>
      <c r="P462" s="9">
        <f>DecodeLabs[[#This Row],[Abandoned Cart]]*DecodeLabs[[#This Row],[UnitPrice]]</f>
        <v>144.25</v>
      </c>
    </row>
    <row r="463" spans="1:16" hidden="1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9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>
        <f t="shared" si="7"/>
        <v>4</v>
      </c>
      <c r="M463" t="s">
        <v>4276</v>
      </c>
      <c r="N463" t="s">
        <v>4282</v>
      </c>
      <c r="O463" s="11">
        <v>401.82</v>
      </c>
      <c r="P463" s="9">
        <f>DecodeLabs[[#This Row],[Abandoned Cart]]*DecodeLabs[[#This Row],[UnitPrice]]</f>
        <v>1607.28</v>
      </c>
    </row>
    <row r="464" spans="1:16" hidden="1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9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>
        <f t="shared" si="7"/>
        <v>0</v>
      </c>
      <c r="M464" t="s">
        <v>4283</v>
      </c>
      <c r="N464" t="s">
        <v>4279</v>
      </c>
      <c r="O464" s="11">
        <v>252.68</v>
      </c>
      <c r="P464" s="9">
        <f>DecodeLabs[[#This Row],[Abandoned Cart]]*DecodeLabs[[#This Row],[UnitPrice]]</f>
        <v>0</v>
      </c>
    </row>
    <row r="465" spans="1:16" hidden="1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9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>
        <f t="shared" si="7"/>
        <v>4</v>
      </c>
      <c r="M465" t="s">
        <v>4275</v>
      </c>
      <c r="N465" t="s">
        <v>4278</v>
      </c>
      <c r="O465" s="11">
        <v>3313.9</v>
      </c>
      <c r="P465" s="9">
        <f>DecodeLabs[[#This Row],[Abandoned Cart]]*DecodeLabs[[#This Row],[UnitPrice]]</f>
        <v>2651.12</v>
      </c>
    </row>
    <row r="466" spans="1:16" hidden="1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9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>
        <f t="shared" si="7"/>
        <v>2</v>
      </c>
      <c r="M466" t="s">
        <v>4276</v>
      </c>
      <c r="N466" t="s">
        <v>4282</v>
      </c>
      <c r="O466" s="11">
        <v>1737.68</v>
      </c>
      <c r="P466" s="9">
        <f>DecodeLabs[[#This Row],[Abandoned Cart]]*DecodeLabs[[#This Row],[UnitPrice]]</f>
        <v>868.84</v>
      </c>
    </row>
    <row r="467" spans="1:16" hidden="1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9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>
        <f t="shared" si="7"/>
        <v>3</v>
      </c>
      <c r="M467" t="s">
        <v>4283</v>
      </c>
      <c r="N467" t="s">
        <v>4282</v>
      </c>
      <c r="O467" s="11">
        <v>2567.4499999999998</v>
      </c>
      <c r="P467" s="9">
        <f>DecodeLabs[[#This Row],[Abandoned Cart]]*DecodeLabs[[#This Row],[UnitPrice]]</f>
        <v>1540.47</v>
      </c>
    </row>
    <row r="468" spans="1:16" hidden="1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9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>
        <f t="shared" si="7"/>
        <v>3</v>
      </c>
      <c r="M468" t="s">
        <v>4276</v>
      </c>
      <c r="N468" t="s">
        <v>4279</v>
      </c>
      <c r="O468" s="11">
        <v>432.47</v>
      </c>
      <c r="P468" s="9">
        <f>DecodeLabs[[#This Row],[Abandoned Cart]]*DecodeLabs[[#This Row],[UnitPrice]]</f>
        <v>1297.4100000000001</v>
      </c>
    </row>
    <row r="469" spans="1:16" hidden="1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>
        <f t="shared" si="7"/>
        <v>1</v>
      </c>
      <c r="M469" t="s">
        <v>4277</v>
      </c>
      <c r="N469" t="s">
        <v>4280</v>
      </c>
      <c r="O469" s="11">
        <v>45.94</v>
      </c>
      <c r="P469" s="9">
        <f>DecodeLabs[[#This Row],[Abandoned Cart]]*DecodeLabs[[#This Row],[UnitPrice]]</f>
        <v>45.94</v>
      </c>
    </row>
    <row r="470" spans="1:16" hidden="1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9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>
        <f t="shared" si="7"/>
        <v>4</v>
      </c>
      <c r="M470" t="s">
        <v>4276</v>
      </c>
      <c r="N470" t="s">
        <v>4280</v>
      </c>
      <c r="O470" s="11">
        <v>418.36</v>
      </c>
      <c r="P470" s="9">
        <f>DecodeLabs[[#This Row],[Abandoned Cart]]*DecodeLabs[[#This Row],[UnitPrice]]</f>
        <v>1673.44</v>
      </c>
    </row>
    <row r="471" spans="1:16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9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>
        <f t="shared" si="7"/>
        <v>0</v>
      </c>
      <c r="M471" t="s">
        <v>4283</v>
      </c>
      <c r="N471" t="s">
        <v>4281</v>
      </c>
      <c r="O471" s="11">
        <v>3384.9</v>
      </c>
      <c r="P471" s="9">
        <f>DecodeLabs[[#This Row],[Abandoned Cart]]*DecodeLabs[[#This Row],[UnitPrice]]</f>
        <v>0</v>
      </c>
    </row>
    <row r="472" spans="1:16" hidden="1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9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>
        <f t="shared" si="7"/>
        <v>1</v>
      </c>
      <c r="M472" t="s">
        <v>4275</v>
      </c>
      <c r="N472" t="s">
        <v>4280</v>
      </c>
      <c r="O472" s="11">
        <v>1054.48</v>
      </c>
      <c r="P472" s="9">
        <f>DecodeLabs[[#This Row],[Abandoned Cart]]*DecodeLabs[[#This Row],[UnitPrice]]</f>
        <v>263.62</v>
      </c>
    </row>
    <row r="473" spans="1:16" hidden="1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9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>
        <f t="shared" si="7"/>
        <v>2</v>
      </c>
      <c r="M473" t="s">
        <v>4276</v>
      </c>
      <c r="N473" t="s">
        <v>4279</v>
      </c>
      <c r="O473" s="11">
        <v>2756.35</v>
      </c>
      <c r="P473" s="9">
        <f>DecodeLabs[[#This Row],[Abandoned Cart]]*DecodeLabs[[#This Row],[UnitPrice]]</f>
        <v>1102.54</v>
      </c>
    </row>
    <row r="474" spans="1:16" hidden="1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9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>
        <f t="shared" si="7"/>
        <v>5</v>
      </c>
      <c r="M474" t="s">
        <v>4276</v>
      </c>
      <c r="N474" t="s">
        <v>4279</v>
      </c>
      <c r="O474" s="11">
        <v>1524.36</v>
      </c>
      <c r="P474" s="9">
        <f>DecodeLabs[[#This Row],[Abandoned Cart]]*DecodeLabs[[#This Row],[UnitPrice]]</f>
        <v>2540.6</v>
      </c>
    </row>
    <row r="475" spans="1:16" hidden="1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9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>
        <f t="shared" si="7"/>
        <v>2</v>
      </c>
      <c r="M475" t="s">
        <v>4283</v>
      </c>
      <c r="N475" t="s">
        <v>4281</v>
      </c>
      <c r="O475" s="11">
        <v>29.86</v>
      </c>
      <c r="P475" s="9">
        <f>DecodeLabs[[#This Row],[Abandoned Cart]]*DecodeLabs[[#This Row],[UnitPrice]]</f>
        <v>29.86</v>
      </c>
    </row>
    <row r="476" spans="1:16" hidden="1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9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>
        <f t="shared" si="7"/>
        <v>3</v>
      </c>
      <c r="M476" t="s">
        <v>4275</v>
      </c>
      <c r="N476" t="s">
        <v>4279</v>
      </c>
      <c r="O476" s="11">
        <v>688.02</v>
      </c>
      <c r="P476" s="9">
        <f>DecodeLabs[[#This Row],[Abandoned Cart]]*DecodeLabs[[#This Row],[UnitPrice]]</f>
        <v>688.02</v>
      </c>
    </row>
    <row r="477" spans="1:16" hidden="1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9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>
        <f t="shared" si="7"/>
        <v>1</v>
      </c>
      <c r="M477" t="s">
        <v>4275</v>
      </c>
      <c r="N477" t="s">
        <v>4281</v>
      </c>
      <c r="O477" s="11">
        <v>877.24</v>
      </c>
      <c r="P477" s="9">
        <f>DecodeLabs[[#This Row],[Abandoned Cart]]*DecodeLabs[[#This Row],[UnitPrice]]</f>
        <v>438.62</v>
      </c>
    </row>
    <row r="478" spans="1:16" hidden="1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9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>
        <f t="shared" si="7"/>
        <v>2</v>
      </c>
      <c r="M478" t="s">
        <v>4276</v>
      </c>
      <c r="N478" t="s">
        <v>4279</v>
      </c>
      <c r="O478" s="11">
        <v>1027.18</v>
      </c>
      <c r="P478" s="9">
        <f>DecodeLabs[[#This Row],[Abandoned Cart]]*DecodeLabs[[#This Row],[UnitPrice]]</f>
        <v>1027.18</v>
      </c>
    </row>
    <row r="479" spans="1:16" hidden="1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>
        <f t="shared" si="7"/>
        <v>3</v>
      </c>
      <c r="M479" t="s">
        <v>4275</v>
      </c>
      <c r="N479" t="s">
        <v>4282</v>
      </c>
      <c r="O479" s="11">
        <v>507.48</v>
      </c>
      <c r="P479" s="9">
        <f>DecodeLabs[[#This Row],[Abandoned Cart]]*DecodeLabs[[#This Row],[UnitPrice]]</f>
        <v>761.22</v>
      </c>
    </row>
    <row r="480" spans="1:16" hidden="1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9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>
        <f t="shared" si="7"/>
        <v>3</v>
      </c>
      <c r="M480" t="s">
        <v>4276</v>
      </c>
      <c r="N480" t="s">
        <v>4279</v>
      </c>
      <c r="O480" s="11">
        <v>188.31</v>
      </c>
      <c r="P480" s="9">
        <f>DecodeLabs[[#This Row],[Abandoned Cart]]*DecodeLabs[[#This Row],[UnitPrice]]</f>
        <v>188.31</v>
      </c>
    </row>
    <row r="481" spans="1:16" hidden="1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9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>
        <f t="shared" si="7"/>
        <v>4</v>
      </c>
      <c r="M481" t="s">
        <v>4283</v>
      </c>
      <c r="N481" t="s">
        <v>4282</v>
      </c>
      <c r="O481" s="11">
        <v>101.16</v>
      </c>
      <c r="P481" s="9">
        <f>DecodeLabs[[#This Row],[Abandoned Cart]]*DecodeLabs[[#This Row],[UnitPrice]]</f>
        <v>101.16</v>
      </c>
    </row>
    <row r="482" spans="1:16" hidden="1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9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>
        <f t="shared" si="7"/>
        <v>5</v>
      </c>
      <c r="M482" t="s">
        <v>4276</v>
      </c>
      <c r="N482" t="s">
        <v>4279</v>
      </c>
      <c r="O482" s="11">
        <v>335.1</v>
      </c>
      <c r="P482" s="9">
        <f>DecodeLabs[[#This Row],[Abandoned Cart]]*DecodeLabs[[#This Row],[UnitPrice]]</f>
        <v>1675.5</v>
      </c>
    </row>
    <row r="483" spans="1:16" hidden="1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9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>
        <f t="shared" si="7"/>
        <v>1</v>
      </c>
      <c r="M483" t="s">
        <v>4277</v>
      </c>
      <c r="N483" t="s">
        <v>4279</v>
      </c>
      <c r="O483" s="11">
        <v>1939.4</v>
      </c>
      <c r="P483" s="9">
        <f>DecodeLabs[[#This Row],[Abandoned Cart]]*DecodeLabs[[#This Row],[UnitPrice]]</f>
        <v>484.85</v>
      </c>
    </row>
    <row r="484" spans="1:16" hidden="1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9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>
        <f t="shared" si="7"/>
        <v>3</v>
      </c>
      <c r="M484" t="s">
        <v>4283</v>
      </c>
      <c r="N484" t="s">
        <v>4278</v>
      </c>
      <c r="O484" s="11">
        <v>1144.23</v>
      </c>
      <c r="P484" s="9">
        <f>DecodeLabs[[#This Row],[Abandoned Cart]]*DecodeLabs[[#This Row],[UnitPrice]]</f>
        <v>1144.23</v>
      </c>
    </row>
    <row r="485" spans="1:16" hidden="1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9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>
        <f t="shared" si="7"/>
        <v>1</v>
      </c>
      <c r="M485" t="s">
        <v>4277</v>
      </c>
      <c r="N485" t="s">
        <v>4282</v>
      </c>
      <c r="O485" s="11">
        <v>1739.6</v>
      </c>
      <c r="P485" s="9">
        <f>DecodeLabs[[#This Row],[Abandoned Cart]]*DecodeLabs[[#This Row],[UnitPrice]]</f>
        <v>347.92</v>
      </c>
    </row>
    <row r="486" spans="1:16" hidden="1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9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>
        <f t="shared" si="7"/>
        <v>2</v>
      </c>
      <c r="M486" t="s">
        <v>4283</v>
      </c>
      <c r="N486" t="s">
        <v>4281</v>
      </c>
      <c r="O486" s="11">
        <v>60.04</v>
      </c>
      <c r="P486" s="9">
        <f>DecodeLabs[[#This Row],[Abandoned Cart]]*DecodeLabs[[#This Row],[UnitPrice]]</f>
        <v>30.02</v>
      </c>
    </row>
    <row r="487" spans="1:16" hidden="1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9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>
        <f t="shared" si="7"/>
        <v>3</v>
      </c>
      <c r="M487" t="s">
        <v>4275</v>
      </c>
      <c r="N487" t="s">
        <v>4278</v>
      </c>
      <c r="O487" s="11">
        <v>1214.3699999999999</v>
      </c>
      <c r="P487" s="9">
        <f>DecodeLabs[[#This Row],[Abandoned Cart]]*DecodeLabs[[#This Row],[UnitPrice]]</f>
        <v>1214.3700000000001</v>
      </c>
    </row>
    <row r="488" spans="1:16" hidden="1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9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>
        <f t="shared" si="7"/>
        <v>1</v>
      </c>
      <c r="M488" t="s">
        <v>4275</v>
      </c>
      <c r="N488" t="s">
        <v>4279</v>
      </c>
      <c r="O488" s="11">
        <v>2445.04</v>
      </c>
      <c r="P488" s="9">
        <f>DecodeLabs[[#This Row],[Abandoned Cart]]*DecodeLabs[[#This Row],[UnitPrice]]</f>
        <v>611.26</v>
      </c>
    </row>
    <row r="489" spans="1:16" hidden="1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>
        <f t="shared" si="7"/>
        <v>0</v>
      </c>
      <c r="M489" t="s">
        <v>4275</v>
      </c>
      <c r="N489" t="s">
        <v>4282</v>
      </c>
      <c r="O489" s="11">
        <v>1039.56</v>
      </c>
      <c r="P489" s="9">
        <f>DecodeLabs[[#This Row],[Abandoned Cart]]*DecodeLabs[[#This Row],[UnitPrice]]</f>
        <v>0</v>
      </c>
    </row>
    <row r="490" spans="1:16" hidden="1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9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>
        <f t="shared" si="7"/>
        <v>0</v>
      </c>
      <c r="M490" t="s">
        <v>4277</v>
      </c>
      <c r="N490" t="s">
        <v>4280</v>
      </c>
      <c r="O490" s="11">
        <v>36.65</v>
      </c>
      <c r="P490" s="9">
        <f>DecodeLabs[[#This Row],[Abandoned Cart]]*DecodeLabs[[#This Row],[UnitPrice]]</f>
        <v>0</v>
      </c>
    </row>
    <row r="491" spans="1:16" hidden="1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9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>
        <f t="shared" si="7"/>
        <v>4</v>
      </c>
      <c r="M491" t="s">
        <v>4277</v>
      </c>
      <c r="N491" t="s">
        <v>4280</v>
      </c>
      <c r="O491" s="11">
        <v>448.02</v>
      </c>
      <c r="P491" s="9">
        <f>DecodeLabs[[#This Row],[Abandoned Cart]]*DecodeLabs[[#This Row],[UnitPrice]]</f>
        <v>597.36</v>
      </c>
    </row>
    <row r="492" spans="1:16" hidden="1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9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>
        <f t="shared" si="7"/>
        <v>5</v>
      </c>
      <c r="M492" t="s">
        <v>4283</v>
      </c>
      <c r="N492" t="s">
        <v>4281</v>
      </c>
      <c r="O492" s="11">
        <v>2339.0500000000002</v>
      </c>
      <c r="P492" s="9">
        <f>DecodeLabs[[#This Row],[Abandoned Cart]]*DecodeLabs[[#This Row],[UnitPrice]]</f>
        <v>2339.0500000000002</v>
      </c>
    </row>
    <row r="493" spans="1:16" hidden="1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9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>
        <f t="shared" si="7"/>
        <v>0</v>
      </c>
      <c r="M493" t="s">
        <v>4277</v>
      </c>
      <c r="N493" t="s">
        <v>4281</v>
      </c>
      <c r="O493" s="11">
        <v>2103.5</v>
      </c>
      <c r="P493" s="9">
        <f>DecodeLabs[[#This Row],[Abandoned Cart]]*DecodeLabs[[#This Row],[UnitPrice]]</f>
        <v>0</v>
      </c>
    </row>
    <row r="494" spans="1:16" hidden="1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9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>
        <f t="shared" si="7"/>
        <v>1</v>
      </c>
      <c r="M494" t="s">
        <v>4275</v>
      </c>
      <c r="N494" t="s">
        <v>4278</v>
      </c>
      <c r="O494" s="11">
        <v>3032.6</v>
      </c>
      <c r="P494" s="9">
        <f>DecodeLabs[[#This Row],[Abandoned Cart]]*DecodeLabs[[#This Row],[UnitPrice]]</f>
        <v>606.52</v>
      </c>
    </row>
    <row r="495" spans="1:16" hidden="1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9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>
        <f t="shared" si="7"/>
        <v>3</v>
      </c>
      <c r="M495" t="s">
        <v>4276</v>
      </c>
      <c r="N495" t="s">
        <v>4281</v>
      </c>
      <c r="O495" s="11">
        <v>420.26</v>
      </c>
      <c r="P495" s="9">
        <f>DecodeLabs[[#This Row],[Abandoned Cart]]*DecodeLabs[[#This Row],[UnitPrice]]</f>
        <v>1260.78</v>
      </c>
    </row>
    <row r="496" spans="1:16" hidden="1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9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>
        <f t="shared" si="7"/>
        <v>0</v>
      </c>
      <c r="M496" t="s">
        <v>4276</v>
      </c>
      <c r="N496" t="s">
        <v>4279</v>
      </c>
      <c r="O496" s="11">
        <v>1517.37</v>
      </c>
      <c r="P496" s="9">
        <f>DecodeLabs[[#This Row],[Abandoned Cart]]*DecodeLabs[[#This Row],[UnitPrice]]</f>
        <v>0</v>
      </c>
    </row>
    <row r="497" spans="1:16" hidden="1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9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>
        <f t="shared" si="7"/>
        <v>2</v>
      </c>
      <c r="M497" t="s">
        <v>4275</v>
      </c>
      <c r="N497" t="s">
        <v>4281</v>
      </c>
      <c r="O497" s="11">
        <v>1974.92</v>
      </c>
      <c r="P497" s="9">
        <f>DecodeLabs[[#This Row],[Abandoned Cart]]*DecodeLabs[[#This Row],[UnitPrice]]</f>
        <v>987.46</v>
      </c>
    </row>
    <row r="498" spans="1:16" hidden="1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9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>
        <f t="shared" si="7"/>
        <v>0</v>
      </c>
      <c r="M498" t="s">
        <v>4275</v>
      </c>
      <c r="N498" t="s">
        <v>4282</v>
      </c>
      <c r="O498" s="11">
        <v>603.63</v>
      </c>
      <c r="P498" s="9">
        <f>DecodeLabs[[#This Row],[Abandoned Cart]]*DecodeLabs[[#This Row],[UnitPrice]]</f>
        <v>0</v>
      </c>
    </row>
    <row r="499" spans="1:16" hidden="1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>
        <f t="shared" si="7"/>
        <v>3</v>
      </c>
      <c r="M499" t="s">
        <v>4283</v>
      </c>
      <c r="N499" t="s">
        <v>4282</v>
      </c>
      <c r="O499" s="11">
        <v>336.87</v>
      </c>
      <c r="P499" s="9">
        <f>DecodeLabs[[#This Row],[Abandoned Cart]]*DecodeLabs[[#This Row],[UnitPrice]]</f>
        <v>336.87</v>
      </c>
    </row>
    <row r="500" spans="1:16" hidden="1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9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>
        <f t="shared" si="7"/>
        <v>4</v>
      </c>
      <c r="M500" t="s">
        <v>4277</v>
      </c>
      <c r="N500" t="s">
        <v>4278</v>
      </c>
      <c r="O500" s="11">
        <v>530.24</v>
      </c>
      <c r="P500" s="9">
        <f>DecodeLabs[[#This Row],[Abandoned Cart]]*DecodeLabs[[#This Row],[UnitPrice]]</f>
        <v>530.24</v>
      </c>
    </row>
    <row r="501" spans="1:16" hidden="1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9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>
        <f t="shared" si="7"/>
        <v>1</v>
      </c>
      <c r="M501" t="s">
        <v>4275</v>
      </c>
      <c r="N501" t="s">
        <v>4281</v>
      </c>
      <c r="O501" s="11">
        <v>1618.38</v>
      </c>
      <c r="P501" s="9">
        <f>DecodeLabs[[#This Row],[Abandoned Cart]]*DecodeLabs[[#This Row],[UnitPrice]]</f>
        <v>539.46</v>
      </c>
    </row>
    <row r="502" spans="1:16" hidden="1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9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>
        <f t="shared" si="7"/>
        <v>3</v>
      </c>
      <c r="M502" t="s">
        <v>4277</v>
      </c>
      <c r="N502" t="s">
        <v>4281</v>
      </c>
      <c r="O502" s="11">
        <v>2542.9499999999998</v>
      </c>
      <c r="P502" s="9">
        <f>DecodeLabs[[#This Row],[Abandoned Cart]]*DecodeLabs[[#This Row],[UnitPrice]]</f>
        <v>1525.77</v>
      </c>
    </row>
    <row r="503" spans="1:16" hidden="1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9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>
        <f t="shared" si="7"/>
        <v>3</v>
      </c>
      <c r="M503" t="s">
        <v>4275</v>
      </c>
      <c r="N503" t="s">
        <v>4279</v>
      </c>
      <c r="O503" s="11">
        <v>813.84</v>
      </c>
      <c r="P503" s="9">
        <f>DecodeLabs[[#This Row],[Abandoned Cart]]*DecodeLabs[[#This Row],[UnitPrice]]</f>
        <v>610.38</v>
      </c>
    </row>
    <row r="504" spans="1:16" hidden="1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9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>
        <f t="shared" si="7"/>
        <v>4</v>
      </c>
      <c r="M504" t="s">
        <v>4275</v>
      </c>
      <c r="N504" t="s">
        <v>4280</v>
      </c>
      <c r="O504" s="11">
        <v>1695.75</v>
      </c>
      <c r="P504" s="9">
        <f>DecodeLabs[[#This Row],[Abandoned Cart]]*DecodeLabs[[#This Row],[UnitPrice]]</f>
        <v>2261</v>
      </c>
    </row>
    <row r="505" spans="1:16" hidden="1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9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>
        <f t="shared" si="7"/>
        <v>1</v>
      </c>
      <c r="M505" t="s">
        <v>4276</v>
      </c>
      <c r="N505" t="s">
        <v>4281</v>
      </c>
      <c r="O505" s="11">
        <v>410.52</v>
      </c>
      <c r="P505" s="9">
        <f>DecodeLabs[[#This Row],[Abandoned Cart]]*DecodeLabs[[#This Row],[UnitPrice]]</f>
        <v>136.84</v>
      </c>
    </row>
    <row r="506" spans="1:16" hidden="1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9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>
        <f t="shared" si="7"/>
        <v>0</v>
      </c>
      <c r="M506" t="s">
        <v>4277</v>
      </c>
      <c r="N506" t="s">
        <v>4278</v>
      </c>
      <c r="O506" s="11">
        <v>929</v>
      </c>
      <c r="P506" s="9">
        <f>DecodeLabs[[#This Row],[Abandoned Cart]]*DecodeLabs[[#This Row],[UnitPrice]]</f>
        <v>0</v>
      </c>
    </row>
    <row r="507" spans="1:16" hidden="1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9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>
        <f t="shared" si="7"/>
        <v>5</v>
      </c>
      <c r="M507" t="s">
        <v>4283</v>
      </c>
      <c r="N507" t="s">
        <v>4280</v>
      </c>
      <c r="O507" s="11">
        <v>869.94</v>
      </c>
      <c r="P507" s="9">
        <f>DecodeLabs[[#This Row],[Abandoned Cart]]*DecodeLabs[[#This Row],[UnitPrice]]</f>
        <v>2174.8500000000004</v>
      </c>
    </row>
    <row r="508" spans="1:16" hidden="1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9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>
        <f t="shared" si="7"/>
        <v>2</v>
      </c>
      <c r="M508" t="s">
        <v>4277</v>
      </c>
      <c r="N508" t="s">
        <v>4278</v>
      </c>
      <c r="O508" s="11">
        <v>87.34</v>
      </c>
      <c r="P508" s="9">
        <f>DecodeLabs[[#This Row],[Abandoned Cart]]*DecodeLabs[[#This Row],[UnitPrice]]</f>
        <v>87.34</v>
      </c>
    </row>
    <row r="509" spans="1:16" hidden="1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>
        <f t="shared" si="7"/>
        <v>4</v>
      </c>
      <c r="M509" t="s">
        <v>4277</v>
      </c>
      <c r="N509" t="s">
        <v>4280</v>
      </c>
      <c r="O509" s="11">
        <v>171.59</v>
      </c>
      <c r="P509" s="9">
        <f>DecodeLabs[[#This Row],[Abandoned Cart]]*DecodeLabs[[#This Row],[UnitPrice]]</f>
        <v>686.36</v>
      </c>
    </row>
    <row r="510" spans="1:16" hidden="1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9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>
        <f t="shared" si="7"/>
        <v>0</v>
      </c>
      <c r="M510" t="s">
        <v>4283</v>
      </c>
      <c r="N510" t="s">
        <v>4279</v>
      </c>
      <c r="O510" s="11">
        <v>558.27</v>
      </c>
      <c r="P510" s="9">
        <f>DecodeLabs[[#This Row],[Abandoned Cart]]*DecodeLabs[[#This Row],[UnitPrice]]</f>
        <v>0</v>
      </c>
    </row>
    <row r="511" spans="1:16" hidden="1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9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>
        <f t="shared" si="7"/>
        <v>0</v>
      </c>
      <c r="M511" t="s">
        <v>4277</v>
      </c>
      <c r="N511" t="s">
        <v>4282</v>
      </c>
      <c r="O511" s="11">
        <v>850.06</v>
      </c>
      <c r="P511" s="9">
        <f>DecodeLabs[[#This Row],[Abandoned Cart]]*DecodeLabs[[#This Row],[UnitPrice]]</f>
        <v>0</v>
      </c>
    </row>
    <row r="512" spans="1:16" hidden="1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9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>
        <f t="shared" si="7"/>
        <v>4</v>
      </c>
      <c r="M512" t="s">
        <v>4275</v>
      </c>
      <c r="N512" t="s">
        <v>4280</v>
      </c>
      <c r="O512" s="11">
        <v>376.76</v>
      </c>
      <c r="P512" s="9">
        <f>DecodeLabs[[#This Row],[Abandoned Cart]]*DecodeLabs[[#This Row],[UnitPrice]]</f>
        <v>1507.04</v>
      </c>
    </row>
    <row r="513" spans="1:16" hidden="1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9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>
        <f t="shared" si="7"/>
        <v>2</v>
      </c>
      <c r="M513" t="s">
        <v>4277</v>
      </c>
      <c r="N513" t="s">
        <v>4280</v>
      </c>
      <c r="O513" s="11">
        <v>2876.2</v>
      </c>
      <c r="P513" s="9">
        <f>DecodeLabs[[#This Row],[Abandoned Cart]]*DecodeLabs[[#This Row],[UnitPrice]]</f>
        <v>1150.48</v>
      </c>
    </row>
    <row r="514" spans="1:16" hidden="1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9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>
        <f t="shared" ref="L514:L577" si="8">K514-E514</f>
        <v>0</v>
      </c>
      <c r="M514" t="s">
        <v>4276</v>
      </c>
      <c r="N514" t="s">
        <v>4278</v>
      </c>
      <c r="O514" s="11">
        <v>1704.06</v>
      </c>
      <c r="P514" s="9">
        <f>DecodeLabs[[#This Row],[Abandoned Cart]]*DecodeLabs[[#This Row],[UnitPrice]]</f>
        <v>0</v>
      </c>
    </row>
    <row r="515" spans="1:16" hidden="1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9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>
        <f t="shared" si="8"/>
        <v>5</v>
      </c>
      <c r="M515" t="s">
        <v>4283</v>
      </c>
      <c r="N515" t="s">
        <v>4279</v>
      </c>
      <c r="O515" s="11">
        <v>284.64</v>
      </c>
      <c r="P515" s="9">
        <f>DecodeLabs[[#This Row],[Abandoned Cart]]*DecodeLabs[[#This Row],[UnitPrice]]</f>
        <v>474.4</v>
      </c>
    </row>
    <row r="516" spans="1:16" hidden="1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9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>
        <f t="shared" si="8"/>
        <v>0</v>
      </c>
      <c r="M516" t="s">
        <v>4277</v>
      </c>
      <c r="N516" t="s">
        <v>4278</v>
      </c>
      <c r="O516" s="11">
        <v>912.44999999999993</v>
      </c>
      <c r="P516" s="9">
        <f>DecodeLabs[[#This Row],[Abandoned Cart]]*DecodeLabs[[#This Row],[UnitPrice]]</f>
        <v>0</v>
      </c>
    </row>
    <row r="517" spans="1:16" hidden="1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9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>
        <f t="shared" si="8"/>
        <v>1</v>
      </c>
      <c r="M517" t="s">
        <v>4276</v>
      </c>
      <c r="N517" t="s">
        <v>4281</v>
      </c>
      <c r="O517" s="11">
        <v>1660.56</v>
      </c>
      <c r="P517" s="9">
        <f>DecodeLabs[[#This Row],[Abandoned Cart]]*DecodeLabs[[#This Row],[UnitPrice]]</f>
        <v>553.52</v>
      </c>
    </row>
    <row r="518" spans="1:16" hidden="1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9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>
        <f t="shared" si="8"/>
        <v>5</v>
      </c>
      <c r="M518" t="s">
        <v>4283</v>
      </c>
      <c r="N518" t="s">
        <v>4281</v>
      </c>
      <c r="O518" s="11">
        <v>500.97</v>
      </c>
      <c r="P518" s="9">
        <f>DecodeLabs[[#This Row],[Abandoned Cart]]*DecodeLabs[[#This Row],[UnitPrice]]</f>
        <v>834.95</v>
      </c>
    </row>
    <row r="519" spans="1:16" hidden="1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>
        <f t="shared" si="8"/>
        <v>3</v>
      </c>
      <c r="M519" t="s">
        <v>4276</v>
      </c>
      <c r="N519" t="s">
        <v>4282</v>
      </c>
      <c r="O519" s="11">
        <v>793.4</v>
      </c>
      <c r="P519" s="9">
        <f>DecodeLabs[[#This Row],[Abandoned Cart]]*DecodeLabs[[#This Row],[UnitPrice]]</f>
        <v>595.04999999999995</v>
      </c>
    </row>
    <row r="520" spans="1:16" hidden="1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9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>
        <f t="shared" si="8"/>
        <v>5</v>
      </c>
      <c r="M520" t="s">
        <v>4275</v>
      </c>
      <c r="N520" t="s">
        <v>4279</v>
      </c>
      <c r="O520" s="11">
        <v>1614.32</v>
      </c>
      <c r="P520" s="9">
        <f>DecodeLabs[[#This Row],[Abandoned Cart]]*DecodeLabs[[#This Row],[UnitPrice]]</f>
        <v>2017.8999999999999</v>
      </c>
    </row>
    <row r="521" spans="1:16" hidden="1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9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>
        <f t="shared" si="8"/>
        <v>1</v>
      </c>
      <c r="M521" t="s">
        <v>4275</v>
      </c>
      <c r="N521" t="s">
        <v>4280</v>
      </c>
      <c r="O521" s="11">
        <v>1857.16</v>
      </c>
      <c r="P521" s="9">
        <f>DecodeLabs[[#This Row],[Abandoned Cart]]*DecodeLabs[[#This Row],[UnitPrice]]</f>
        <v>464.29</v>
      </c>
    </row>
    <row r="522" spans="1:16" hidden="1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9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>
        <f t="shared" si="8"/>
        <v>2</v>
      </c>
      <c r="M522" t="s">
        <v>4283</v>
      </c>
      <c r="N522" t="s">
        <v>4279</v>
      </c>
      <c r="O522" s="11">
        <v>1907.94</v>
      </c>
      <c r="P522" s="9">
        <f>DecodeLabs[[#This Row],[Abandoned Cart]]*DecodeLabs[[#This Row],[UnitPrice]]</f>
        <v>1271.96</v>
      </c>
    </row>
    <row r="523" spans="1:16" hidden="1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9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>
        <f t="shared" si="8"/>
        <v>1</v>
      </c>
      <c r="M523" t="s">
        <v>4283</v>
      </c>
      <c r="N523" t="s">
        <v>4281</v>
      </c>
      <c r="O523" s="11">
        <v>528.05999999999995</v>
      </c>
      <c r="P523" s="9">
        <f>DecodeLabs[[#This Row],[Abandoned Cart]]*DecodeLabs[[#This Row],[UnitPrice]]</f>
        <v>528.05999999999995</v>
      </c>
    </row>
    <row r="524" spans="1:16" hidden="1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9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>
        <f t="shared" si="8"/>
        <v>0</v>
      </c>
      <c r="M524" t="s">
        <v>4276</v>
      </c>
      <c r="N524" t="s">
        <v>4280</v>
      </c>
      <c r="O524" s="11">
        <v>515.32000000000005</v>
      </c>
      <c r="P524" s="9">
        <f>DecodeLabs[[#This Row],[Abandoned Cart]]*DecodeLabs[[#This Row],[UnitPrice]]</f>
        <v>0</v>
      </c>
    </row>
    <row r="525" spans="1:16" hidden="1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9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>
        <f t="shared" si="8"/>
        <v>2</v>
      </c>
      <c r="M525" t="s">
        <v>4277</v>
      </c>
      <c r="N525" t="s">
        <v>4282</v>
      </c>
      <c r="O525" s="11">
        <v>2631.16</v>
      </c>
      <c r="P525" s="9">
        <f>DecodeLabs[[#This Row],[Abandoned Cart]]*DecodeLabs[[#This Row],[UnitPrice]]</f>
        <v>1315.58</v>
      </c>
    </row>
    <row r="526" spans="1:16" hidden="1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9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>
        <f t="shared" si="8"/>
        <v>3</v>
      </c>
      <c r="M526" t="s">
        <v>4283</v>
      </c>
      <c r="N526" t="s">
        <v>4279</v>
      </c>
      <c r="O526" s="11">
        <v>153</v>
      </c>
      <c r="P526" s="9">
        <f>DecodeLabs[[#This Row],[Abandoned Cart]]*DecodeLabs[[#This Row],[UnitPrice]]</f>
        <v>459</v>
      </c>
    </row>
    <row r="527" spans="1:16" hidden="1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9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>
        <f t="shared" si="8"/>
        <v>0</v>
      </c>
      <c r="M527" t="s">
        <v>4275</v>
      </c>
      <c r="N527" t="s">
        <v>4280</v>
      </c>
      <c r="O527" s="11">
        <v>668.48</v>
      </c>
      <c r="P527" s="9">
        <f>DecodeLabs[[#This Row],[Abandoned Cart]]*DecodeLabs[[#This Row],[UnitPrice]]</f>
        <v>0</v>
      </c>
    </row>
    <row r="528" spans="1:16" hidden="1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9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>
        <f t="shared" si="8"/>
        <v>5</v>
      </c>
      <c r="M528" t="s">
        <v>4277</v>
      </c>
      <c r="N528" t="s">
        <v>4282</v>
      </c>
      <c r="O528" s="11">
        <v>93</v>
      </c>
      <c r="P528" s="9">
        <f>DecodeLabs[[#This Row],[Abandoned Cart]]*DecodeLabs[[#This Row],[UnitPrice]]</f>
        <v>232.5</v>
      </c>
    </row>
    <row r="529" spans="1:16" hidden="1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>
        <f t="shared" si="8"/>
        <v>5</v>
      </c>
      <c r="M529" t="s">
        <v>4275</v>
      </c>
      <c r="N529" t="s">
        <v>4279</v>
      </c>
      <c r="O529" s="11">
        <v>3267.35</v>
      </c>
      <c r="P529" s="9">
        <f>DecodeLabs[[#This Row],[Abandoned Cart]]*DecodeLabs[[#This Row],[UnitPrice]]</f>
        <v>3267.3500000000004</v>
      </c>
    </row>
    <row r="530" spans="1:16" hidden="1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9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>
        <f t="shared" si="8"/>
        <v>1</v>
      </c>
      <c r="M530" t="s">
        <v>4275</v>
      </c>
      <c r="N530" t="s">
        <v>4279</v>
      </c>
      <c r="O530" s="11">
        <v>628.89</v>
      </c>
      <c r="P530" s="9">
        <f>DecodeLabs[[#This Row],[Abandoned Cart]]*DecodeLabs[[#This Row],[UnitPrice]]</f>
        <v>628.89</v>
      </c>
    </row>
    <row r="531" spans="1:16" hidden="1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9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>
        <f t="shared" si="8"/>
        <v>2</v>
      </c>
      <c r="M531" t="s">
        <v>4276</v>
      </c>
      <c r="N531" t="s">
        <v>4282</v>
      </c>
      <c r="O531" s="11">
        <v>1350.2</v>
      </c>
      <c r="P531" s="9">
        <f>DecodeLabs[[#This Row],[Abandoned Cart]]*DecodeLabs[[#This Row],[UnitPrice]]</f>
        <v>1350.2</v>
      </c>
    </row>
    <row r="532" spans="1:16" hidden="1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9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>
        <f t="shared" si="8"/>
        <v>5</v>
      </c>
      <c r="M532" t="s">
        <v>4283</v>
      </c>
      <c r="N532" t="s">
        <v>4282</v>
      </c>
      <c r="O532" s="11">
        <v>357.64</v>
      </c>
      <c r="P532" s="9">
        <f>DecodeLabs[[#This Row],[Abandoned Cart]]*DecodeLabs[[#This Row],[UnitPrice]]</f>
        <v>447.04999999999995</v>
      </c>
    </row>
    <row r="533" spans="1:16" hidden="1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9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>
        <f t="shared" si="8"/>
        <v>1</v>
      </c>
      <c r="M533" t="s">
        <v>4283</v>
      </c>
      <c r="N533" t="s">
        <v>4279</v>
      </c>
      <c r="O533" s="11">
        <v>1600.05</v>
      </c>
      <c r="P533" s="9">
        <f>DecodeLabs[[#This Row],[Abandoned Cart]]*DecodeLabs[[#This Row],[UnitPrice]]</f>
        <v>320.01</v>
      </c>
    </row>
    <row r="534" spans="1:16" hidden="1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9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>
        <f t="shared" si="8"/>
        <v>5</v>
      </c>
      <c r="M534" t="s">
        <v>4283</v>
      </c>
      <c r="N534" t="s">
        <v>4280</v>
      </c>
      <c r="O534" s="11">
        <v>82</v>
      </c>
      <c r="P534" s="9">
        <f>DecodeLabs[[#This Row],[Abandoned Cart]]*DecodeLabs[[#This Row],[UnitPrice]]</f>
        <v>205</v>
      </c>
    </row>
    <row r="535" spans="1:16" hidden="1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9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>
        <f t="shared" si="8"/>
        <v>0</v>
      </c>
      <c r="M535" t="s">
        <v>4276</v>
      </c>
      <c r="N535" t="s">
        <v>4281</v>
      </c>
      <c r="O535" s="11">
        <v>565.85</v>
      </c>
      <c r="P535" s="9">
        <f>DecodeLabs[[#This Row],[Abandoned Cart]]*DecodeLabs[[#This Row],[UnitPrice]]</f>
        <v>0</v>
      </c>
    </row>
    <row r="536" spans="1:16" hidden="1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9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>
        <f t="shared" si="8"/>
        <v>1</v>
      </c>
      <c r="M536" t="s">
        <v>4275</v>
      </c>
      <c r="N536" t="s">
        <v>4280</v>
      </c>
      <c r="O536" s="11">
        <v>1945.77</v>
      </c>
      <c r="P536" s="9">
        <f>DecodeLabs[[#This Row],[Abandoned Cart]]*DecodeLabs[[#This Row],[UnitPrice]]</f>
        <v>648.59</v>
      </c>
    </row>
    <row r="537" spans="1:16" hidden="1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9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>
        <f t="shared" si="8"/>
        <v>0</v>
      </c>
      <c r="M537" t="s">
        <v>4276</v>
      </c>
      <c r="N537" t="s">
        <v>4280</v>
      </c>
      <c r="O537" s="11">
        <v>204.36</v>
      </c>
      <c r="P537" s="9">
        <f>DecodeLabs[[#This Row],[Abandoned Cart]]*DecodeLabs[[#This Row],[UnitPrice]]</f>
        <v>0</v>
      </c>
    </row>
    <row r="538" spans="1:16" hidden="1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9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>
        <f t="shared" si="8"/>
        <v>5</v>
      </c>
      <c r="M538" t="s">
        <v>4283</v>
      </c>
      <c r="N538" t="s">
        <v>4280</v>
      </c>
      <c r="O538" s="11">
        <v>616.1</v>
      </c>
      <c r="P538" s="9">
        <f>DecodeLabs[[#This Row],[Abandoned Cart]]*DecodeLabs[[#This Row],[UnitPrice]]</f>
        <v>3080.5</v>
      </c>
    </row>
    <row r="539" spans="1:16" hidden="1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>
        <f t="shared" si="8"/>
        <v>1</v>
      </c>
      <c r="M539" t="s">
        <v>4275</v>
      </c>
      <c r="N539" t="s">
        <v>4281</v>
      </c>
      <c r="O539" s="11">
        <v>742.41</v>
      </c>
      <c r="P539" s="9">
        <f>DecodeLabs[[#This Row],[Abandoned Cart]]*DecodeLabs[[#This Row],[UnitPrice]]</f>
        <v>247.47</v>
      </c>
    </row>
    <row r="540" spans="1:16" hidden="1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9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>
        <f t="shared" si="8"/>
        <v>0</v>
      </c>
      <c r="M540" t="s">
        <v>4277</v>
      </c>
      <c r="N540" t="s">
        <v>4280</v>
      </c>
      <c r="O540" s="11">
        <v>1472.22</v>
      </c>
      <c r="P540" s="9">
        <f>DecodeLabs[[#This Row],[Abandoned Cart]]*DecodeLabs[[#This Row],[UnitPrice]]</f>
        <v>0</v>
      </c>
    </row>
    <row r="541" spans="1:16" hidden="1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9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>
        <f t="shared" si="8"/>
        <v>4</v>
      </c>
      <c r="M541" t="s">
        <v>4275</v>
      </c>
      <c r="N541" t="s">
        <v>4282</v>
      </c>
      <c r="O541" s="11">
        <v>1595.16</v>
      </c>
      <c r="P541" s="9">
        <f>DecodeLabs[[#This Row],[Abandoned Cart]]*DecodeLabs[[#This Row],[UnitPrice]]</f>
        <v>2126.88</v>
      </c>
    </row>
    <row r="542" spans="1:16" hidden="1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9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>
        <f t="shared" si="8"/>
        <v>2</v>
      </c>
      <c r="M542" t="s">
        <v>4283</v>
      </c>
      <c r="N542" t="s">
        <v>4279</v>
      </c>
      <c r="O542" s="11">
        <v>3243.25</v>
      </c>
      <c r="P542" s="9">
        <f>DecodeLabs[[#This Row],[Abandoned Cart]]*DecodeLabs[[#This Row],[UnitPrice]]</f>
        <v>1297.3</v>
      </c>
    </row>
    <row r="543" spans="1:16" hidden="1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9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>
        <f t="shared" si="8"/>
        <v>5</v>
      </c>
      <c r="M543" t="s">
        <v>4283</v>
      </c>
      <c r="N543" t="s">
        <v>4278</v>
      </c>
      <c r="O543" s="11">
        <v>2280.3000000000002</v>
      </c>
      <c r="P543" s="9">
        <f>DecodeLabs[[#This Row],[Abandoned Cart]]*DecodeLabs[[#This Row],[UnitPrice]]</f>
        <v>2280.3000000000002</v>
      </c>
    </row>
    <row r="544" spans="1:16" hidden="1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9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>
        <f t="shared" si="8"/>
        <v>5</v>
      </c>
      <c r="M544" t="s">
        <v>4276</v>
      </c>
      <c r="N544" t="s">
        <v>4280</v>
      </c>
      <c r="O544" s="11">
        <v>17.98</v>
      </c>
      <c r="P544" s="9">
        <f>DecodeLabs[[#This Row],[Abandoned Cart]]*DecodeLabs[[#This Row],[UnitPrice]]</f>
        <v>89.9</v>
      </c>
    </row>
    <row r="545" spans="1:16" hidden="1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9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>
        <f t="shared" si="8"/>
        <v>1</v>
      </c>
      <c r="M545" t="s">
        <v>4277</v>
      </c>
      <c r="N545" t="s">
        <v>4281</v>
      </c>
      <c r="O545" s="11">
        <v>1349.3</v>
      </c>
      <c r="P545" s="9">
        <f>DecodeLabs[[#This Row],[Abandoned Cart]]*DecodeLabs[[#This Row],[UnitPrice]]</f>
        <v>269.86</v>
      </c>
    </row>
    <row r="546" spans="1:16" hidden="1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9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>
        <f t="shared" si="8"/>
        <v>0</v>
      </c>
      <c r="M546" t="s">
        <v>4276</v>
      </c>
      <c r="N546" t="s">
        <v>4279</v>
      </c>
      <c r="O546" s="11">
        <v>159.80000000000001</v>
      </c>
      <c r="P546" s="9">
        <f>DecodeLabs[[#This Row],[Abandoned Cart]]*DecodeLabs[[#This Row],[UnitPrice]]</f>
        <v>0</v>
      </c>
    </row>
    <row r="547" spans="1:16" hidden="1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9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>
        <f t="shared" si="8"/>
        <v>1</v>
      </c>
      <c r="M547" t="s">
        <v>4283</v>
      </c>
      <c r="N547" t="s">
        <v>4278</v>
      </c>
      <c r="O547" s="11">
        <v>196.94</v>
      </c>
      <c r="P547" s="9">
        <f>DecodeLabs[[#This Row],[Abandoned Cart]]*DecodeLabs[[#This Row],[UnitPrice]]</f>
        <v>98.47</v>
      </c>
    </row>
    <row r="548" spans="1:16" hidden="1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9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>
        <f t="shared" si="8"/>
        <v>5</v>
      </c>
      <c r="M548" t="s">
        <v>4277</v>
      </c>
      <c r="N548" t="s">
        <v>4278</v>
      </c>
      <c r="O548" s="11">
        <v>158.68</v>
      </c>
      <c r="P548" s="9">
        <f>DecodeLabs[[#This Row],[Abandoned Cart]]*DecodeLabs[[#This Row],[UnitPrice]]</f>
        <v>793.40000000000009</v>
      </c>
    </row>
    <row r="549" spans="1:16" hidden="1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>
        <f t="shared" si="8"/>
        <v>3</v>
      </c>
      <c r="M549" t="s">
        <v>4276</v>
      </c>
      <c r="N549" t="s">
        <v>4281</v>
      </c>
      <c r="O549" s="11">
        <v>613.98</v>
      </c>
      <c r="P549" s="9">
        <f>DecodeLabs[[#This Row],[Abandoned Cart]]*DecodeLabs[[#This Row],[UnitPrice]]</f>
        <v>1841.94</v>
      </c>
    </row>
    <row r="550" spans="1:16" hidden="1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9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>
        <f t="shared" si="8"/>
        <v>2</v>
      </c>
      <c r="M550" t="s">
        <v>4277</v>
      </c>
      <c r="N550" t="s">
        <v>4278</v>
      </c>
      <c r="O550" s="11">
        <v>1278.3599999999999</v>
      </c>
      <c r="P550" s="9">
        <f>DecodeLabs[[#This Row],[Abandoned Cart]]*DecodeLabs[[#This Row],[UnitPrice]]</f>
        <v>852.24</v>
      </c>
    </row>
    <row r="551" spans="1:16" hidden="1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9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>
        <f t="shared" si="8"/>
        <v>4</v>
      </c>
      <c r="M551" t="s">
        <v>4277</v>
      </c>
      <c r="N551" t="s">
        <v>4278</v>
      </c>
      <c r="O551" s="11">
        <v>2519.52</v>
      </c>
      <c r="P551" s="9">
        <f>DecodeLabs[[#This Row],[Abandoned Cart]]*DecodeLabs[[#This Row],[UnitPrice]]</f>
        <v>2519.52</v>
      </c>
    </row>
    <row r="552" spans="1:16" hidden="1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9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>
        <f t="shared" si="8"/>
        <v>0</v>
      </c>
      <c r="M552" t="s">
        <v>4276</v>
      </c>
      <c r="N552" t="s">
        <v>4282</v>
      </c>
      <c r="O552" s="11">
        <v>915.64</v>
      </c>
      <c r="P552" s="9">
        <f>DecodeLabs[[#This Row],[Abandoned Cart]]*DecodeLabs[[#This Row],[UnitPrice]]</f>
        <v>0</v>
      </c>
    </row>
    <row r="553" spans="1:16" hidden="1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9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>
        <f t="shared" si="8"/>
        <v>5</v>
      </c>
      <c r="M553" t="s">
        <v>4277</v>
      </c>
      <c r="N553" t="s">
        <v>4280</v>
      </c>
      <c r="O553" s="11">
        <v>120.98</v>
      </c>
      <c r="P553" s="9">
        <f>DecodeLabs[[#This Row],[Abandoned Cart]]*DecodeLabs[[#This Row],[UnitPrice]]</f>
        <v>604.9</v>
      </c>
    </row>
    <row r="554" spans="1:16" hidden="1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9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>
        <f t="shared" si="8"/>
        <v>4</v>
      </c>
      <c r="M554" t="s">
        <v>4277</v>
      </c>
      <c r="N554" t="s">
        <v>4281</v>
      </c>
      <c r="O554" s="11">
        <v>1700.72</v>
      </c>
      <c r="P554" s="9">
        <f>DecodeLabs[[#This Row],[Abandoned Cart]]*DecodeLabs[[#This Row],[UnitPrice]]</f>
        <v>1700.72</v>
      </c>
    </row>
    <row r="555" spans="1:16" hidden="1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9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>
        <f t="shared" si="8"/>
        <v>2</v>
      </c>
      <c r="M555" t="s">
        <v>4276</v>
      </c>
      <c r="N555" t="s">
        <v>4279</v>
      </c>
      <c r="O555" s="11">
        <v>667.66</v>
      </c>
      <c r="P555" s="9">
        <f>DecodeLabs[[#This Row],[Abandoned Cart]]*DecodeLabs[[#This Row],[UnitPrice]]</f>
        <v>667.66</v>
      </c>
    </row>
    <row r="556" spans="1:16" hidden="1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9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>
        <f t="shared" si="8"/>
        <v>3</v>
      </c>
      <c r="M556" t="s">
        <v>4276</v>
      </c>
      <c r="N556" t="s">
        <v>4278</v>
      </c>
      <c r="O556" s="11">
        <v>985.8</v>
      </c>
      <c r="P556" s="9">
        <f>DecodeLabs[[#This Row],[Abandoned Cart]]*DecodeLabs[[#This Row],[UnitPrice]]</f>
        <v>1478.6999999999998</v>
      </c>
    </row>
    <row r="557" spans="1:16" hidden="1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9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>
        <f t="shared" si="8"/>
        <v>1</v>
      </c>
      <c r="M557" t="s">
        <v>4283</v>
      </c>
      <c r="N557" t="s">
        <v>4281</v>
      </c>
      <c r="O557" s="11">
        <v>92.04</v>
      </c>
      <c r="P557" s="9">
        <f>DecodeLabs[[#This Row],[Abandoned Cart]]*DecodeLabs[[#This Row],[UnitPrice]]</f>
        <v>92.04</v>
      </c>
    </row>
    <row r="558" spans="1:16" hidden="1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9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>
        <f t="shared" si="8"/>
        <v>1</v>
      </c>
      <c r="M558" t="s">
        <v>4275</v>
      </c>
      <c r="N558" t="s">
        <v>4281</v>
      </c>
      <c r="O558" s="11">
        <v>654.27</v>
      </c>
      <c r="P558" s="9">
        <f>DecodeLabs[[#This Row],[Abandoned Cart]]*DecodeLabs[[#This Row],[UnitPrice]]</f>
        <v>654.27</v>
      </c>
    </row>
    <row r="559" spans="1:16" hidden="1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>
        <f t="shared" si="8"/>
        <v>0</v>
      </c>
      <c r="M559" t="s">
        <v>4277</v>
      </c>
      <c r="N559" t="s">
        <v>4281</v>
      </c>
      <c r="O559" s="11">
        <v>56.2</v>
      </c>
      <c r="P559" s="9">
        <f>DecodeLabs[[#This Row],[Abandoned Cart]]*DecodeLabs[[#This Row],[UnitPrice]]</f>
        <v>0</v>
      </c>
    </row>
    <row r="560" spans="1:16" hidden="1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9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>
        <f t="shared" si="8"/>
        <v>2</v>
      </c>
      <c r="M560" t="s">
        <v>4277</v>
      </c>
      <c r="N560" t="s">
        <v>4278</v>
      </c>
      <c r="O560" s="11">
        <v>2512.48</v>
      </c>
      <c r="P560" s="9">
        <f>DecodeLabs[[#This Row],[Abandoned Cart]]*DecodeLabs[[#This Row],[UnitPrice]]</f>
        <v>1256.24</v>
      </c>
    </row>
    <row r="561" spans="1:16" hidden="1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9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>
        <f t="shared" si="8"/>
        <v>4</v>
      </c>
      <c r="M561" t="s">
        <v>4277</v>
      </c>
      <c r="N561" t="s">
        <v>4280</v>
      </c>
      <c r="O561" s="11">
        <v>472.2</v>
      </c>
      <c r="P561" s="9">
        <f>DecodeLabs[[#This Row],[Abandoned Cart]]*DecodeLabs[[#This Row],[UnitPrice]]</f>
        <v>629.6</v>
      </c>
    </row>
    <row r="562" spans="1:16" hidden="1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9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>
        <f t="shared" si="8"/>
        <v>3</v>
      </c>
      <c r="M562" t="s">
        <v>4283</v>
      </c>
      <c r="N562" t="s">
        <v>4280</v>
      </c>
      <c r="O562" s="11">
        <v>2355.4</v>
      </c>
      <c r="P562" s="9">
        <f>DecodeLabs[[#This Row],[Abandoned Cart]]*DecodeLabs[[#This Row],[UnitPrice]]</f>
        <v>1766.5500000000002</v>
      </c>
    </row>
    <row r="563" spans="1:16" hidden="1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9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>
        <f t="shared" si="8"/>
        <v>0</v>
      </c>
      <c r="M563" t="s">
        <v>4283</v>
      </c>
      <c r="N563" t="s">
        <v>4282</v>
      </c>
      <c r="O563" s="11">
        <v>989.56</v>
      </c>
      <c r="P563" s="9">
        <f>DecodeLabs[[#This Row],[Abandoned Cart]]*DecodeLabs[[#This Row],[UnitPrice]]</f>
        <v>0</v>
      </c>
    </row>
    <row r="564" spans="1:16" hidden="1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9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>
        <f t="shared" si="8"/>
        <v>3</v>
      </c>
      <c r="M564" t="s">
        <v>4276</v>
      </c>
      <c r="N564" t="s">
        <v>4280</v>
      </c>
      <c r="O564" s="11">
        <v>1991.79</v>
      </c>
      <c r="P564" s="9">
        <f>DecodeLabs[[#This Row],[Abandoned Cart]]*DecodeLabs[[#This Row],[UnitPrice]]</f>
        <v>1991.79</v>
      </c>
    </row>
    <row r="565" spans="1:16" hidden="1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9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>
        <f t="shared" si="8"/>
        <v>0</v>
      </c>
      <c r="M565" t="s">
        <v>4275</v>
      </c>
      <c r="N565" t="s">
        <v>4279</v>
      </c>
      <c r="O565" s="11">
        <v>132.68</v>
      </c>
      <c r="P565" s="9">
        <f>DecodeLabs[[#This Row],[Abandoned Cart]]*DecodeLabs[[#This Row],[UnitPrice]]</f>
        <v>0</v>
      </c>
    </row>
    <row r="566" spans="1:16" hidden="1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9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>
        <f t="shared" si="8"/>
        <v>0</v>
      </c>
      <c r="M566" t="s">
        <v>4277</v>
      </c>
      <c r="N566" t="s">
        <v>4282</v>
      </c>
      <c r="O566" s="11">
        <v>1821.4</v>
      </c>
      <c r="P566" s="9">
        <f>DecodeLabs[[#This Row],[Abandoned Cart]]*DecodeLabs[[#This Row],[UnitPrice]]</f>
        <v>0</v>
      </c>
    </row>
    <row r="567" spans="1:16" hidden="1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9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>
        <f t="shared" si="8"/>
        <v>5</v>
      </c>
      <c r="M567" t="s">
        <v>4283</v>
      </c>
      <c r="N567" t="s">
        <v>4281</v>
      </c>
      <c r="O567" s="11">
        <v>1539.9</v>
      </c>
      <c r="P567" s="9">
        <f>DecodeLabs[[#This Row],[Abandoned Cart]]*DecodeLabs[[#This Row],[UnitPrice]]</f>
        <v>1539.9</v>
      </c>
    </row>
    <row r="568" spans="1:16" hidden="1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9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>
        <f t="shared" si="8"/>
        <v>3</v>
      </c>
      <c r="M568" t="s">
        <v>4276</v>
      </c>
      <c r="N568" t="s">
        <v>4280</v>
      </c>
      <c r="O568" s="11">
        <v>650.84</v>
      </c>
      <c r="P568" s="9">
        <f>DecodeLabs[[#This Row],[Abandoned Cart]]*DecodeLabs[[#This Row],[UnitPrice]]</f>
        <v>488.13</v>
      </c>
    </row>
    <row r="569" spans="1:16" hidden="1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>
        <f t="shared" si="8"/>
        <v>5</v>
      </c>
      <c r="M569" t="s">
        <v>4276</v>
      </c>
      <c r="N569" t="s">
        <v>4280</v>
      </c>
      <c r="O569" s="11">
        <v>2464.6999999999998</v>
      </c>
      <c r="P569" s="9">
        <f>DecodeLabs[[#This Row],[Abandoned Cart]]*DecodeLabs[[#This Row],[UnitPrice]]</f>
        <v>2464.6999999999998</v>
      </c>
    </row>
    <row r="570" spans="1:16" hidden="1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9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>
        <f t="shared" si="8"/>
        <v>2</v>
      </c>
      <c r="M570" t="s">
        <v>4283</v>
      </c>
      <c r="N570" t="s">
        <v>4282</v>
      </c>
      <c r="O570" s="11">
        <v>687.98</v>
      </c>
      <c r="P570" s="9">
        <f>DecodeLabs[[#This Row],[Abandoned Cart]]*DecodeLabs[[#This Row],[UnitPrice]]</f>
        <v>687.98</v>
      </c>
    </row>
    <row r="571" spans="1:16" hidden="1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9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>
        <f t="shared" si="8"/>
        <v>3</v>
      </c>
      <c r="M571" t="s">
        <v>4275</v>
      </c>
      <c r="N571" t="s">
        <v>4278</v>
      </c>
      <c r="O571" s="11">
        <v>1253.4000000000001</v>
      </c>
      <c r="P571" s="9">
        <f>DecodeLabs[[#This Row],[Abandoned Cart]]*DecodeLabs[[#This Row],[UnitPrice]]</f>
        <v>752.04</v>
      </c>
    </row>
    <row r="572" spans="1:16" hidden="1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9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>
        <f t="shared" si="8"/>
        <v>0</v>
      </c>
      <c r="M572" t="s">
        <v>4275</v>
      </c>
      <c r="N572" t="s">
        <v>4278</v>
      </c>
      <c r="O572" s="11">
        <v>724.28</v>
      </c>
      <c r="P572" s="9">
        <f>DecodeLabs[[#This Row],[Abandoned Cart]]*DecodeLabs[[#This Row],[UnitPrice]]</f>
        <v>0</v>
      </c>
    </row>
    <row r="573" spans="1:16" hidden="1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9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>
        <f t="shared" si="8"/>
        <v>1</v>
      </c>
      <c r="M573" t="s">
        <v>4277</v>
      </c>
      <c r="N573" t="s">
        <v>4282</v>
      </c>
      <c r="O573" s="11">
        <v>214.08</v>
      </c>
      <c r="P573" s="9">
        <f>DecodeLabs[[#This Row],[Abandoned Cart]]*DecodeLabs[[#This Row],[UnitPrice]]</f>
        <v>214.08</v>
      </c>
    </row>
    <row r="574" spans="1:16" hidden="1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9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>
        <f t="shared" si="8"/>
        <v>3</v>
      </c>
      <c r="M574" t="s">
        <v>4277</v>
      </c>
      <c r="N574" t="s">
        <v>4281</v>
      </c>
      <c r="O574" s="11">
        <v>70.319999999999993</v>
      </c>
      <c r="P574" s="9">
        <f>DecodeLabs[[#This Row],[Abandoned Cart]]*DecodeLabs[[#This Row],[UnitPrice]]</f>
        <v>210.95999999999998</v>
      </c>
    </row>
    <row r="575" spans="1:16" hidden="1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9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>
        <f t="shared" si="8"/>
        <v>2</v>
      </c>
      <c r="M575" t="s">
        <v>4283</v>
      </c>
      <c r="N575" t="s">
        <v>4278</v>
      </c>
      <c r="O575" s="11">
        <v>2107.1</v>
      </c>
      <c r="P575" s="9">
        <f>DecodeLabs[[#This Row],[Abandoned Cart]]*DecodeLabs[[#This Row],[UnitPrice]]</f>
        <v>842.84</v>
      </c>
    </row>
    <row r="576" spans="1:16" hidden="1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9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>
        <f t="shared" si="8"/>
        <v>1</v>
      </c>
      <c r="M576" t="s">
        <v>4276</v>
      </c>
      <c r="N576" t="s">
        <v>4280</v>
      </c>
      <c r="O576" s="11">
        <v>1923.45</v>
      </c>
      <c r="P576" s="9">
        <f>DecodeLabs[[#This Row],[Abandoned Cart]]*DecodeLabs[[#This Row],[UnitPrice]]</f>
        <v>384.69</v>
      </c>
    </row>
    <row r="577" spans="1:16" hidden="1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9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>
        <f t="shared" si="8"/>
        <v>2</v>
      </c>
      <c r="M577" t="s">
        <v>4275</v>
      </c>
      <c r="N577" t="s">
        <v>4282</v>
      </c>
      <c r="O577" s="11">
        <v>2240.75</v>
      </c>
      <c r="P577" s="9">
        <f>DecodeLabs[[#This Row],[Abandoned Cart]]*DecodeLabs[[#This Row],[UnitPrice]]</f>
        <v>896.3</v>
      </c>
    </row>
    <row r="578" spans="1:16" hidden="1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9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>
        <f t="shared" ref="L578:L641" si="9">K578-E578</f>
        <v>3</v>
      </c>
      <c r="M578" t="s">
        <v>4283</v>
      </c>
      <c r="N578" t="s">
        <v>4281</v>
      </c>
      <c r="O578" s="11">
        <v>395.4</v>
      </c>
      <c r="P578" s="9">
        <f>DecodeLabs[[#This Row],[Abandoned Cart]]*DecodeLabs[[#This Row],[UnitPrice]]</f>
        <v>237.24</v>
      </c>
    </row>
    <row r="579" spans="1:16" hidden="1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>
        <f t="shared" si="9"/>
        <v>5</v>
      </c>
      <c r="M579" t="s">
        <v>4277</v>
      </c>
      <c r="N579" t="s">
        <v>4282</v>
      </c>
      <c r="O579" s="11">
        <v>741.64</v>
      </c>
      <c r="P579" s="9">
        <f>DecodeLabs[[#This Row],[Abandoned Cart]]*DecodeLabs[[#This Row],[UnitPrice]]</f>
        <v>927.05</v>
      </c>
    </row>
    <row r="580" spans="1:16" hidden="1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9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>
        <f t="shared" si="9"/>
        <v>1</v>
      </c>
      <c r="M580" t="s">
        <v>4275</v>
      </c>
      <c r="N580" t="s">
        <v>4278</v>
      </c>
      <c r="O580" s="11">
        <v>2830.35</v>
      </c>
      <c r="P580" s="9">
        <f>DecodeLabs[[#This Row],[Abandoned Cart]]*DecodeLabs[[#This Row],[UnitPrice]]</f>
        <v>566.07000000000005</v>
      </c>
    </row>
    <row r="581" spans="1:16" hidden="1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9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>
        <f t="shared" si="9"/>
        <v>2</v>
      </c>
      <c r="M581" t="s">
        <v>4277</v>
      </c>
      <c r="N581" t="s">
        <v>4281</v>
      </c>
      <c r="O581" s="11">
        <v>375.76</v>
      </c>
      <c r="P581" s="9">
        <f>DecodeLabs[[#This Row],[Abandoned Cart]]*DecodeLabs[[#This Row],[UnitPrice]]</f>
        <v>375.76</v>
      </c>
    </row>
    <row r="582" spans="1:16" hidden="1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9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>
        <f t="shared" si="9"/>
        <v>2</v>
      </c>
      <c r="M582" t="s">
        <v>4275</v>
      </c>
      <c r="N582" t="s">
        <v>4278</v>
      </c>
      <c r="O582" s="11">
        <v>511.98</v>
      </c>
      <c r="P582" s="9">
        <f>DecodeLabs[[#This Row],[Abandoned Cart]]*DecodeLabs[[#This Row],[UnitPrice]]</f>
        <v>511.98</v>
      </c>
    </row>
    <row r="583" spans="1:16" hidden="1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9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>
        <f t="shared" si="9"/>
        <v>0</v>
      </c>
      <c r="M583" t="s">
        <v>4283</v>
      </c>
      <c r="N583" t="s">
        <v>4279</v>
      </c>
      <c r="O583" s="11">
        <v>627.34</v>
      </c>
      <c r="P583" s="9">
        <f>DecodeLabs[[#This Row],[Abandoned Cart]]*DecodeLabs[[#This Row],[UnitPrice]]</f>
        <v>0</v>
      </c>
    </row>
    <row r="584" spans="1:16" hidden="1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9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>
        <f t="shared" si="9"/>
        <v>5</v>
      </c>
      <c r="M584" t="s">
        <v>4277</v>
      </c>
      <c r="N584" t="s">
        <v>4282</v>
      </c>
      <c r="O584" s="11">
        <v>1422.42</v>
      </c>
      <c r="P584" s="9">
        <f>DecodeLabs[[#This Row],[Abandoned Cart]]*DecodeLabs[[#This Row],[UnitPrice]]</f>
        <v>2370.6999999999998</v>
      </c>
    </row>
    <row r="585" spans="1:16" hidden="1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9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>
        <f t="shared" si="9"/>
        <v>1</v>
      </c>
      <c r="M585" t="s">
        <v>4283</v>
      </c>
      <c r="N585" t="s">
        <v>4278</v>
      </c>
      <c r="O585" s="11">
        <v>463.11</v>
      </c>
      <c r="P585" s="9">
        <f>DecodeLabs[[#This Row],[Abandoned Cart]]*DecodeLabs[[#This Row],[UnitPrice]]</f>
        <v>154.37</v>
      </c>
    </row>
    <row r="586" spans="1:16" hidden="1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9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>
        <f t="shared" si="9"/>
        <v>2</v>
      </c>
      <c r="M586" t="s">
        <v>4275</v>
      </c>
      <c r="N586" t="s">
        <v>4282</v>
      </c>
      <c r="O586" s="11">
        <v>580.20000000000005</v>
      </c>
      <c r="P586" s="9">
        <f>DecodeLabs[[#This Row],[Abandoned Cart]]*DecodeLabs[[#This Row],[UnitPrice]]</f>
        <v>290.10000000000002</v>
      </c>
    </row>
    <row r="587" spans="1:16" hidden="1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9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>
        <f t="shared" si="9"/>
        <v>4</v>
      </c>
      <c r="M587" t="s">
        <v>4277</v>
      </c>
      <c r="N587" t="s">
        <v>4282</v>
      </c>
      <c r="O587" s="11">
        <v>268.32</v>
      </c>
      <c r="P587" s="9">
        <f>DecodeLabs[[#This Row],[Abandoned Cart]]*DecodeLabs[[#This Row],[UnitPrice]]</f>
        <v>268.32</v>
      </c>
    </row>
    <row r="588" spans="1:16" hidden="1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9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>
        <f t="shared" si="9"/>
        <v>4</v>
      </c>
      <c r="M588" t="s">
        <v>4276</v>
      </c>
      <c r="N588" t="s">
        <v>4279</v>
      </c>
      <c r="O588" s="11">
        <v>522.08000000000004</v>
      </c>
      <c r="P588" s="9">
        <f>DecodeLabs[[#This Row],[Abandoned Cart]]*DecodeLabs[[#This Row],[UnitPrice]]</f>
        <v>2088.3200000000002</v>
      </c>
    </row>
    <row r="589" spans="1:16" hidden="1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>
        <f t="shared" si="9"/>
        <v>5</v>
      </c>
      <c r="M589" t="s">
        <v>4276</v>
      </c>
      <c r="N589" t="s">
        <v>4278</v>
      </c>
      <c r="O589" s="11">
        <v>2573</v>
      </c>
      <c r="P589" s="9">
        <f>DecodeLabs[[#This Row],[Abandoned Cart]]*DecodeLabs[[#This Row],[UnitPrice]]</f>
        <v>2573</v>
      </c>
    </row>
    <row r="590" spans="1:16" hidden="1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9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>
        <f t="shared" si="9"/>
        <v>5</v>
      </c>
      <c r="M590" t="s">
        <v>4283</v>
      </c>
      <c r="N590" t="s">
        <v>4282</v>
      </c>
      <c r="O590" s="11">
        <v>2311.2800000000002</v>
      </c>
      <c r="P590" s="9">
        <f>DecodeLabs[[#This Row],[Abandoned Cart]]*DecodeLabs[[#This Row],[UnitPrice]]</f>
        <v>2889.1000000000004</v>
      </c>
    </row>
    <row r="591" spans="1:16" hidden="1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9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>
        <f t="shared" si="9"/>
        <v>1</v>
      </c>
      <c r="M591" t="s">
        <v>4276</v>
      </c>
      <c r="N591" t="s">
        <v>4279</v>
      </c>
      <c r="O591" s="11">
        <v>1001.6</v>
      </c>
      <c r="P591" s="9">
        <f>DecodeLabs[[#This Row],[Abandoned Cart]]*DecodeLabs[[#This Row],[UnitPrice]]</f>
        <v>500.8</v>
      </c>
    </row>
    <row r="592" spans="1:16" hidden="1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9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>
        <f t="shared" si="9"/>
        <v>2</v>
      </c>
      <c r="M592" t="s">
        <v>4283</v>
      </c>
      <c r="N592" t="s">
        <v>4280</v>
      </c>
      <c r="O592" s="11">
        <v>922.26</v>
      </c>
      <c r="P592" s="9">
        <f>DecodeLabs[[#This Row],[Abandoned Cart]]*DecodeLabs[[#This Row],[UnitPrice]]</f>
        <v>922.26</v>
      </c>
    </row>
    <row r="593" spans="1:16" hidden="1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9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>
        <f t="shared" si="9"/>
        <v>2</v>
      </c>
      <c r="M593" t="s">
        <v>4276</v>
      </c>
      <c r="N593" t="s">
        <v>4279</v>
      </c>
      <c r="O593" s="11">
        <v>605.28</v>
      </c>
      <c r="P593" s="9">
        <f>DecodeLabs[[#This Row],[Abandoned Cart]]*DecodeLabs[[#This Row],[UnitPrice]]</f>
        <v>1210.56</v>
      </c>
    </row>
    <row r="594" spans="1:16" hidden="1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9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>
        <f t="shared" si="9"/>
        <v>1</v>
      </c>
      <c r="M594" t="s">
        <v>4283</v>
      </c>
      <c r="N594" t="s">
        <v>4282</v>
      </c>
      <c r="O594" s="11">
        <v>612.81000000000006</v>
      </c>
      <c r="P594" s="9">
        <f>DecodeLabs[[#This Row],[Abandoned Cart]]*DecodeLabs[[#This Row],[UnitPrice]]</f>
        <v>204.27</v>
      </c>
    </row>
    <row r="595" spans="1:16" hidden="1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9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>
        <f t="shared" si="9"/>
        <v>3</v>
      </c>
      <c r="M595" t="s">
        <v>4276</v>
      </c>
      <c r="N595" t="s">
        <v>4281</v>
      </c>
      <c r="O595" s="11">
        <v>489.8</v>
      </c>
      <c r="P595" s="9">
        <f>DecodeLabs[[#This Row],[Abandoned Cart]]*DecodeLabs[[#This Row],[UnitPrice]]</f>
        <v>1469.4</v>
      </c>
    </row>
    <row r="596" spans="1:16" hidden="1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9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>
        <f t="shared" si="9"/>
        <v>2</v>
      </c>
      <c r="M596" t="s">
        <v>4283</v>
      </c>
      <c r="N596" t="s">
        <v>4280</v>
      </c>
      <c r="O596" s="11">
        <v>363.2</v>
      </c>
      <c r="P596" s="9">
        <f>DecodeLabs[[#This Row],[Abandoned Cart]]*DecodeLabs[[#This Row],[UnitPrice]]</f>
        <v>145.28</v>
      </c>
    </row>
    <row r="597" spans="1:16" hidden="1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9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>
        <f t="shared" si="9"/>
        <v>5</v>
      </c>
      <c r="M597" t="s">
        <v>4275</v>
      </c>
      <c r="N597" t="s">
        <v>4280</v>
      </c>
      <c r="O597" s="11">
        <v>770.32</v>
      </c>
      <c r="P597" s="9">
        <f>DecodeLabs[[#This Row],[Abandoned Cart]]*DecodeLabs[[#This Row],[UnitPrice]]</f>
        <v>1925.8000000000002</v>
      </c>
    </row>
    <row r="598" spans="1:16" hidden="1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9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>
        <f t="shared" si="9"/>
        <v>4</v>
      </c>
      <c r="M598" t="s">
        <v>4276</v>
      </c>
      <c r="N598" t="s">
        <v>4281</v>
      </c>
      <c r="O598" s="11">
        <v>1819.23</v>
      </c>
      <c r="P598" s="9">
        <f>DecodeLabs[[#This Row],[Abandoned Cart]]*DecodeLabs[[#This Row],[UnitPrice]]</f>
        <v>2425.64</v>
      </c>
    </row>
    <row r="599" spans="1:16" hidden="1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>
        <f t="shared" si="9"/>
        <v>2</v>
      </c>
      <c r="M599" t="s">
        <v>4277</v>
      </c>
      <c r="N599" t="s">
        <v>4280</v>
      </c>
      <c r="O599" s="11">
        <v>423.64</v>
      </c>
      <c r="P599" s="9">
        <f>DecodeLabs[[#This Row],[Abandoned Cart]]*DecodeLabs[[#This Row],[UnitPrice]]</f>
        <v>423.64</v>
      </c>
    </row>
    <row r="600" spans="1:16" hidden="1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9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>
        <f t="shared" si="9"/>
        <v>0</v>
      </c>
      <c r="M600" t="s">
        <v>4283</v>
      </c>
      <c r="N600" t="s">
        <v>4281</v>
      </c>
      <c r="O600" s="11">
        <v>2476.75</v>
      </c>
      <c r="P600" s="9">
        <f>DecodeLabs[[#This Row],[Abandoned Cart]]*DecodeLabs[[#This Row],[UnitPrice]]</f>
        <v>0</v>
      </c>
    </row>
    <row r="601" spans="1:16" hidden="1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9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>
        <f t="shared" si="9"/>
        <v>1</v>
      </c>
      <c r="M601" t="s">
        <v>4276</v>
      </c>
      <c r="N601" t="s">
        <v>4281</v>
      </c>
      <c r="O601" s="11">
        <v>1670.97</v>
      </c>
      <c r="P601" s="9">
        <f>DecodeLabs[[#This Row],[Abandoned Cart]]*DecodeLabs[[#This Row],[UnitPrice]]</f>
        <v>556.99</v>
      </c>
    </row>
    <row r="602" spans="1:16" hidden="1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9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>
        <f t="shared" si="9"/>
        <v>0</v>
      </c>
      <c r="M602" t="s">
        <v>4276</v>
      </c>
      <c r="N602" t="s">
        <v>4281</v>
      </c>
      <c r="O602" s="11">
        <v>72.31</v>
      </c>
      <c r="P602" s="9">
        <f>DecodeLabs[[#This Row],[Abandoned Cart]]*DecodeLabs[[#This Row],[UnitPrice]]</f>
        <v>0</v>
      </c>
    </row>
    <row r="603" spans="1:16" hidden="1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9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>
        <f t="shared" si="9"/>
        <v>5</v>
      </c>
      <c r="M603" t="s">
        <v>4283</v>
      </c>
      <c r="N603" t="s">
        <v>4279</v>
      </c>
      <c r="O603" s="11">
        <v>124.1</v>
      </c>
      <c r="P603" s="9">
        <f>DecodeLabs[[#This Row],[Abandoned Cart]]*DecodeLabs[[#This Row],[UnitPrice]]</f>
        <v>124.1</v>
      </c>
    </row>
    <row r="604" spans="1:16" hidden="1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9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>
        <f t="shared" si="9"/>
        <v>1</v>
      </c>
      <c r="M604" t="s">
        <v>4275</v>
      </c>
      <c r="N604" t="s">
        <v>4278</v>
      </c>
      <c r="O604" s="11">
        <v>104.16</v>
      </c>
      <c r="P604" s="9">
        <f>DecodeLabs[[#This Row],[Abandoned Cart]]*DecodeLabs[[#This Row],[UnitPrice]]</f>
        <v>26.04</v>
      </c>
    </row>
    <row r="605" spans="1:16" hidden="1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9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>
        <f t="shared" si="9"/>
        <v>3</v>
      </c>
      <c r="M605" t="s">
        <v>4275</v>
      </c>
      <c r="N605" t="s">
        <v>4282</v>
      </c>
      <c r="O605" s="11">
        <v>657.07</v>
      </c>
      <c r="P605" s="9">
        <f>DecodeLabs[[#This Row],[Abandoned Cart]]*DecodeLabs[[#This Row],[UnitPrice]]</f>
        <v>1971.21</v>
      </c>
    </row>
    <row r="606" spans="1:16" hidden="1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9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>
        <f t="shared" si="9"/>
        <v>3</v>
      </c>
      <c r="M606" t="s">
        <v>4283</v>
      </c>
      <c r="N606" t="s">
        <v>4281</v>
      </c>
      <c r="O606" s="11">
        <v>97.859999999999985</v>
      </c>
      <c r="P606" s="9">
        <f>DecodeLabs[[#This Row],[Abandoned Cart]]*DecodeLabs[[#This Row],[UnitPrice]]</f>
        <v>97.859999999999985</v>
      </c>
    </row>
    <row r="607" spans="1:16" hidden="1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9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>
        <f t="shared" si="9"/>
        <v>2</v>
      </c>
      <c r="M607" t="s">
        <v>4275</v>
      </c>
      <c r="N607" t="s">
        <v>4279</v>
      </c>
      <c r="O607" s="11">
        <v>457.82</v>
      </c>
      <c r="P607" s="9">
        <f>DecodeLabs[[#This Row],[Abandoned Cart]]*DecodeLabs[[#This Row],[UnitPrice]]</f>
        <v>457.82</v>
      </c>
    </row>
    <row r="608" spans="1:16" hidden="1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9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>
        <f t="shared" si="9"/>
        <v>0</v>
      </c>
      <c r="M608" t="s">
        <v>4275</v>
      </c>
      <c r="N608" t="s">
        <v>4282</v>
      </c>
      <c r="O608" s="11">
        <v>824.25</v>
      </c>
      <c r="P608" s="9">
        <f>DecodeLabs[[#This Row],[Abandoned Cart]]*DecodeLabs[[#This Row],[UnitPrice]]</f>
        <v>0</v>
      </c>
    </row>
    <row r="609" spans="1:16" hidden="1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>
        <f t="shared" si="9"/>
        <v>2</v>
      </c>
      <c r="M609" t="s">
        <v>4275</v>
      </c>
      <c r="N609" t="s">
        <v>4282</v>
      </c>
      <c r="O609" s="11">
        <v>2536.1999999999998</v>
      </c>
      <c r="P609" s="9">
        <f>DecodeLabs[[#This Row],[Abandoned Cart]]*DecodeLabs[[#This Row],[UnitPrice]]</f>
        <v>1268.0999999999999</v>
      </c>
    </row>
    <row r="610" spans="1:16" hidden="1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9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>
        <f t="shared" si="9"/>
        <v>1</v>
      </c>
      <c r="M610" t="s">
        <v>4275</v>
      </c>
      <c r="N610" t="s">
        <v>4278</v>
      </c>
      <c r="O610" s="11">
        <v>2715.8</v>
      </c>
      <c r="P610" s="9">
        <f>DecodeLabs[[#This Row],[Abandoned Cart]]*DecodeLabs[[#This Row],[UnitPrice]]</f>
        <v>543.16</v>
      </c>
    </row>
    <row r="611" spans="1:16" hidden="1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9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>
        <f t="shared" si="9"/>
        <v>2</v>
      </c>
      <c r="M611" t="s">
        <v>4277</v>
      </c>
      <c r="N611" t="s">
        <v>4279</v>
      </c>
      <c r="O611" s="11">
        <v>1347.39</v>
      </c>
      <c r="P611" s="9">
        <f>DecodeLabs[[#This Row],[Abandoned Cart]]*DecodeLabs[[#This Row],[UnitPrice]]</f>
        <v>898.26</v>
      </c>
    </row>
    <row r="612" spans="1:16" hidden="1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9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>
        <f t="shared" si="9"/>
        <v>2</v>
      </c>
      <c r="M612" t="s">
        <v>4276</v>
      </c>
      <c r="N612" t="s">
        <v>4281</v>
      </c>
      <c r="O612" s="11">
        <v>1948.1</v>
      </c>
      <c r="P612" s="9">
        <f>DecodeLabs[[#This Row],[Abandoned Cart]]*DecodeLabs[[#This Row],[UnitPrice]]</f>
        <v>779.24</v>
      </c>
    </row>
    <row r="613" spans="1:16" hidden="1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9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>
        <f t="shared" si="9"/>
        <v>2</v>
      </c>
      <c r="M613" t="s">
        <v>4277</v>
      </c>
      <c r="N613" t="s">
        <v>4279</v>
      </c>
      <c r="O613" s="11">
        <v>305.17</v>
      </c>
      <c r="P613" s="9">
        <f>DecodeLabs[[#This Row],[Abandoned Cart]]*DecodeLabs[[#This Row],[UnitPrice]]</f>
        <v>610.34</v>
      </c>
    </row>
    <row r="614" spans="1:16" hidden="1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9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>
        <f t="shared" si="9"/>
        <v>5</v>
      </c>
      <c r="M614" t="s">
        <v>4283</v>
      </c>
      <c r="N614" t="s">
        <v>4282</v>
      </c>
      <c r="O614" s="11">
        <v>1335.36</v>
      </c>
      <c r="P614" s="9">
        <f>DecodeLabs[[#This Row],[Abandoned Cart]]*DecodeLabs[[#This Row],[UnitPrice]]</f>
        <v>2225.6</v>
      </c>
    </row>
    <row r="615" spans="1:16" hidden="1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9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>
        <f t="shared" si="9"/>
        <v>2</v>
      </c>
      <c r="M615" t="s">
        <v>4277</v>
      </c>
      <c r="N615" t="s">
        <v>4280</v>
      </c>
      <c r="O615" s="11">
        <v>460.72</v>
      </c>
      <c r="P615" s="9">
        <f>DecodeLabs[[#This Row],[Abandoned Cart]]*DecodeLabs[[#This Row],[UnitPrice]]</f>
        <v>460.72</v>
      </c>
    </row>
    <row r="616" spans="1:16" hidden="1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9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>
        <f t="shared" si="9"/>
        <v>2</v>
      </c>
      <c r="M616" t="s">
        <v>4283</v>
      </c>
      <c r="N616" t="s">
        <v>4279</v>
      </c>
      <c r="O616" s="11">
        <v>96.81</v>
      </c>
      <c r="P616" s="9">
        <f>DecodeLabs[[#This Row],[Abandoned Cart]]*DecodeLabs[[#This Row],[UnitPrice]]</f>
        <v>193.62</v>
      </c>
    </row>
    <row r="617" spans="1:16" hidden="1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9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>
        <f t="shared" si="9"/>
        <v>5</v>
      </c>
      <c r="M617" t="s">
        <v>4277</v>
      </c>
      <c r="N617" t="s">
        <v>4281</v>
      </c>
      <c r="O617" s="11">
        <v>2300.6999999999998</v>
      </c>
      <c r="P617" s="9">
        <f>DecodeLabs[[#This Row],[Abandoned Cart]]*DecodeLabs[[#This Row],[UnitPrice]]</f>
        <v>2300.6999999999998</v>
      </c>
    </row>
    <row r="618" spans="1:16" hidden="1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9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>
        <f t="shared" si="9"/>
        <v>4</v>
      </c>
      <c r="M618" t="s">
        <v>4275</v>
      </c>
      <c r="N618" t="s">
        <v>4281</v>
      </c>
      <c r="O618" s="11">
        <v>1804.8</v>
      </c>
      <c r="P618" s="9">
        <f>DecodeLabs[[#This Row],[Abandoned Cart]]*DecodeLabs[[#This Row],[UnitPrice]]</f>
        <v>2406.4</v>
      </c>
    </row>
    <row r="619" spans="1:16" hidden="1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>
        <f t="shared" si="9"/>
        <v>1</v>
      </c>
      <c r="M619" t="s">
        <v>4283</v>
      </c>
      <c r="N619" t="s">
        <v>4279</v>
      </c>
      <c r="O619" s="11">
        <v>553.41</v>
      </c>
      <c r="P619" s="9">
        <f>DecodeLabs[[#This Row],[Abandoned Cart]]*DecodeLabs[[#This Row],[UnitPrice]]</f>
        <v>184.47</v>
      </c>
    </row>
    <row r="620" spans="1:16" hidden="1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9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>
        <f t="shared" si="9"/>
        <v>4</v>
      </c>
      <c r="M620" t="s">
        <v>4283</v>
      </c>
      <c r="N620" t="s">
        <v>4278</v>
      </c>
      <c r="O620" s="11">
        <v>411.34</v>
      </c>
      <c r="P620" s="9">
        <f>DecodeLabs[[#This Row],[Abandoned Cart]]*DecodeLabs[[#This Row],[UnitPrice]]</f>
        <v>1645.36</v>
      </c>
    </row>
    <row r="621" spans="1:16" hidden="1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9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>
        <f t="shared" si="9"/>
        <v>1</v>
      </c>
      <c r="M621" t="s">
        <v>4283</v>
      </c>
      <c r="N621" t="s">
        <v>4279</v>
      </c>
      <c r="O621" s="11">
        <v>532.89</v>
      </c>
      <c r="P621" s="9">
        <f>DecodeLabs[[#This Row],[Abandoned Cart]]*DecodeLabs[[#This Row],[UnitPrice]]</f>
        <v>532.89</v>
      </c>
    </row>
    <row r="622" spans="1:16" hidden="1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9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>
        <f t="shared" si="9"/>
        <v>5</v>
      </c>
      <c r="M622" t="s">
        <v>4275</v>
      </c>
      <c r="N622" t="s">
        <v>4279</v>
      </c>
      <c r="O622" s="11">
        <v>409.02</v>
      </c>
      <c r="P622" s="9">
        <f>DecodeLabs[[#This Row],[Abandoned Cart]]*DecodeLabs[[#This Row],[UnitPrice]]</f>
        <v>681.7</v>
      </c>
    </row>
    <row r="623" spans="1:16" hidden="1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9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>
        <f t="shared" si="9"/>
        <v>2</v>
      </c>
      <c r="M623" t="s">
        <v>4277</v>
      </c>
      <c r="N623" t="s">
        <v>4282</v>
      </c>
      <c r="O623" s="11">
        <v>2380.0500000000002</v>
      </c>
      <c r="P623" s="9">
        <f>DecodeLabs[[#This Row],[Abandoned Cart]]*DecodeLabs[[#This Row],[UnitPrice]]</f>
        <v>952.02</v>
      </c>
    </row>
    <row r="624" spans="1:16" hidden="1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9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>
        <f t="shared" si="9"/>
        <v>2</v>
      </c>
      <c r="M624" t="s">
        <v>4283</v>
      </c>
      <c r="N624" t="s">
        <v>4281</v>
      </c>
      <c r="O624" s="11">
        <v>1181.9000000000001</v>
      </c>
      <c r="P624" s="9">
        <f>DecodeLabs[[#This Row],[Abandoned Cart]]*DecodeLabs[[#This Row],[UnitPrice]]</f>
        <v>472.76</v>
      </c>
    </row>
    <row r="625" spans="1:16" hidden="1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9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>
        <f t="shared" si="9"/>
        <v>1</v>
      </c>
      <c r="M625" t="s">
        <v>4276</v>
      </c>
      <c r="N625" t="s">
        <v>4278</v>
      </c>
      <c r="O625" s="11">
        <v>1188</v>
      </c>
      <c r="P625" s="9">
        <f>DecodeLabs[[#This Row],[Abandoned Cart]]*DecodeLabs[[#This Row],[UnitPrice]]</f>
        <v>396</v>
      </c>
    </row>
    <row r="626" spans="1:16" hidden="1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9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>
        <f t="shared" si="9"/>
        <v>1</v>
      </c>
      <c r="M626" t="s">
        <v>4283</v>
      </c>
      <c r="N626" t="s">
        <v>4280</v>
      </c>
      <c r="O626" s="11">
        <v>1709.8</v>
      </c>
      <c r="P626" s="9">
        <f>DecodeLabs[[#This Row],[Abandoned Cart]]*DecodeLabs[[#This Row],[UnitPrice]]</f>
        <v>341.96</v>
      </c>
    </row>
    <row r="627" spans="1:16" hidden="1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9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>
        <f t="shared" si="9"/>
        <v>0</v>
      </c>
      <c r="M627" t="s">
        <v>4277</v>
      </c>
      <c r="N627" t="s">
        <v>4280</v>
      </c>
      <c r="O627" s="11">
        <v>672.89</v>
      </c>
      <c r="P627" s="9">
        <f>DecodeLabs[[#This Row],[Abandoned Cart]]*DecodeLabs[[#This Row],[UnitPrice]]</f>
        <v>0</v>
      </c>
    </row>
    <row r="628" spans="1:16" hidden="1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9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>
        <f t="shared" si="9"/>
        <v>3</v>
      </c>
      <c r="M628" t="s">
        <v>4275</v>
      </c>
      <c r="N628" t="s">
        <v>4279</v>
      </c>
      <c r="O628" s="11">
        <v>1314.96</v>
      </c>
      <c r="P628" s="9">
        <f>DecodeLabs[[#This Row],[Abandoned Cart]]*DecodeLabs[[#This Row],[UnitPrice]]</f>
        <v>1972.44</v>
      </c>
    </row>
    <row r="629" spans="1:16" hidden="1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>
        <f t="shared" si="9"/>
        <v>1</v>
      </c>
      <c r="M629" t="s">
        <v>4276</v>
      </c>
      <c r="N629" t="s">
        <v>4280</v>
      </c>
      <c r="O629" s="11">
        <v>1496.04</v>
      </c>
      <c r="P629" s="9">
        <f>DecodeLabs[[#This Row],[Abandoned Cart]]*DecodeLabs[[#This Row],[UnitPrice]]</f>
        <v>498.68</v>
      </c>
    </row>
    <row r="630" spans="1:16" hidden="1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9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>
        <f t="shared" si="9"/>
        <v>3</v>
      </c>
      <c r="M630" t="s">
        <v>4276</v>
      </c>
      <c r="N630" t="s">
        <v>4279</v>
      </c>
      <c r="O630" s="11">
        <v>2793.15</v>
      </c>
      <c r="P630" s="9">
        <f>DecodeLabs[[#This Row],[Abandoned Cart]]*DecodeLabs[[#This Row],[UnitPrice]]</f>
        <v>1675.8899999999999</v>
      </c>
    </row>
    <row r="631" spans="1:16" hidden="1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9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>
        <f t="shared" si="9"/>
        <v>0</v>
      </c>
      <c r="M631" t="s">
        <v>4283</v>
      </c>
      <c r="N631" t="s">
        <v>4279</v>
      </c>
      <c r="O631" s="11">
        <v>59.19</v>
      </c>
      <c r="P631" s="9">
        <f>DecodeLabs[[#This Row],[Abandoned Cart]]*DecodeLabs[[#This Row],[UnitPrice]]</f>
        <v>0</v>
      </c>
    </row>
    <row r="632" spans="1:16" hidden="1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9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>
        <f t="shared" si="9"/>
        <v>5</v>
      </c>
      <c r="M632" t="s">
        <v>4283</v>
      </c>
      <c r="N632" t="s">
        <v>4278</v>
      </c>
      <c r="O632" s="11">
        <v>1244.2</v>
      </c>
      <c r="P632" s="9">
        <f>DecodeLabs[[#This Row],[Abandoned Cart]]*DecodeLabs[[#This Row],[UnitPrice]]</f>
        <v>1244.2</v>
      </c>
    </row>
    <row r="633" spans="1:16" hidden="1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9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>
        <f t="shared" si="9"/>
        <v>2</v>
      </c>
      <c r="M633" t="s">
        <v>4277</v>
      </c>
      <c r="N633" t="s">
        <v>4279</v>
      </c>
      <c r="O633" s="11">
        <v>138.33000000000001</v>
      </c>
      <c r="P633" s="9">
        <f>DecodeLabs[[#This Row],[Abandoned Cart]]*DecodeLabs[[#This Row],[UnitPrice]]</f>
        <v>92.22</v>
      </c>
    </row>
    <row r="634" spans="1:16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9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>
        <f t="shared" si="9"/>
        <v>2</v>
      </c>
      <c r="M634" t="s">
        <v>4277</v>
      </c>
      <c r="N634" t="s">
        <v>4281</v>
      </c>
      <c r="O634" s="11">
        <v>3390.8</v>
      </c>
      <c r="P634" s="9">
        <f>DecodeLabs[[#This Row],[Abandoned Cart]]*DecodeLabs[[#This Row],[UnitPrice]]</f>
        <v>1356.32</v>
      </c>
    </row>
    <row r="635" spans="1:16" hidden="1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9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>
        <f t="shared" si="9"/>
        <v>0</v>
      </c>
      <c r="M635" t="s">
        <v>4277</v>
      </c>
      <c r="N635" t="s">
        <v>4278</v>
      </c>
      <c r="O635" s="11">
        <v>3008.6</v>
      </c>
      <c r="P635" s="9">
        <f>DecodeLabs[[#This Row],[Abandoned Cart]]*DecodeLabs[[#This Row],[UnitPrice]]</f>
        <v>0</v>
      </c>
    </row>
    <row r="636" spans="1:16" hidden="1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9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>
        <f t="shared" si="9"/>
        <v>0</v>
      </c>
      <c r="M636" t="s">
        <v>4277</v>
      </c>
      <c r="N636" t="s">
        <v>4279</v>
      </c>
      <c r="O636" s="11">
        <v>518.64</v>
      </c>
      <c r="P636" s="9">
        <f>DecodeLabs[[#This Row],[Abandoned Cart]]*DecodeLabs[[#This Row],[UnitPrice]]</f>
        <v>0</v>
      </c>
    </row>
    <row r="637" spans="1:16" hidden="1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9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>
        <f t="shared" si="9"/>
        <v>3</v>
      </c>
      <c r="M637" t="s">
        <v>4283</v>
      </c>
      <c r="N637" t="s">
        <v>4281</v>
      </c>
      <c r="O637" s="11">
        <v>191.04</v>
      </c>
      <c r="P637" s="9">
        <f>DecodeLabs[[#This Row],[Abandoned Cart]]*DecodeLabs[[#This Row],[UnitPrice]]</f>
        <v>191.04</v>
      </c>
    </row>
    <row r="638" spans="1:16" hidden="1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9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>
        <f t="shared" si="9"/>
        <v>3</v>
      </c>
      <c r="M638" t="s">
        <v>4277</v>
      </c>
      <c r="N638" t="s">
        <v>4281</v>
      </c>
      <c r="O638" s="11">
        <v>1484.28</v>
      </c>
      <c r="P638" s="9">
        <f>DecodeLabs[[#This Row],[Abandoned Cart]]*DecodeLabs[[#This Row],[UnitPrice]]</f>
        <v>1113.21</v>
      </c>
    </row>
    <row r="639" spans="1:16" hidden="1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>
        <f t="shared" si="9"/>
        <v>3</v>
      </c>
      <c r="M639" t="s">
        <v>4277</v>
      </c>
      <c r="N639" t="s">
        <v>4279</v>
      </c>
      <c r="O639" s="11">
        <v>1225.4000000000001</v>
      </c>
      <c r="P639" s="9">
        <f>DecodeLabs[[#This Row],[Abandoned Cart]]*DecodeLabs[[#This Row],[UnitPrice]]</f>
        <v>919.05000000000007</v>
      </c>
    </row>
    <row r="640" spans="1:16" hidden="1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9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>
        <f t="shared" si="9"/>
        <v>5</v>
      </c>
      <c r="M640" t="s">
        <v>4277</v>
      </c>
      <c r="N640" t="s">
        <v>4280</v>
      </c>
      <c r="O640" s="11">
        <v>2313.08</v>
      </c>
      <c r="P640" s="9">
        <f>DecodeLabs[[#This Row],[Abandoned Cart]]*DecodeLabs[[#This Row],[UnitPrice]]</f>
        <v>2891.35</v>
      </c>
    </row>
    <row r="641" spans="1:16" hidden="1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9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>
        <f t="shared" si="9"/>
        <v>4</v>
      </c>
      <c r="M641" t="s">
        <v>4283</v>
      </c>
      <c r="N641" t="s">
        <v>4279</v>
      </c>
      <c r="O641" s="11">
        <v>529.19000000000005</v>
      </c>
      <c r="P641" s="9">
        <f>DecodeLabs[[#This Row],[Abandoned Cart]]*DecodeLabs[[#This Row],[UnitPrice]]</f>
        <v>2116.7600000000002</v>
      </c>
    </row>
    <row r="642" spans="1:16" hidden="1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9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>
        <f t="shared" ref="L642:L705" si="10">K642-E642</f>
        <v>4</v>
      </c>
      <c r="M642" t="s">
        <v>4275</v>
      </c>
      <c r="N642" t="s">
        <v>4279</v>
      </c>
      <c r="O642" s="11">
        <v>1174.98</v>
      </c>
      <c r="P642" s="9">
        <f>DecodeLabs[[#This Row],[Abandoned Cart]]*DecodeLabs[[#This Row],[UnitPrice]]</f>
        <v>2349.96</v>
      </c>
    </row>
    <row r="643" spans="1:16" hidden="1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9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>
        <f t="shared" si="10"/>
        <v>5</v>
      </c>
      <c r="M643" t="s">
        <v>4277</v>
      </c>
      <c r="N643" t="s">
        <v>4282</v>
      </c>
      <c r="O643" s="11">
        <v>2270.2800000000002</v>
      </c>
      <c r="P643" s="9">
        <f>DecodeLabs[[#This Row],[Abandoned Cart]]*DecodeLabs[[#This Row],[UnitPrice]]</f>
        <v>2837.8500000000004</v>
      </c>
    </row>
    <row r="644" spans="1:16" hidden="1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9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>
        <f t="shared" si="10"/>
        <v>2</v>
      </c>
      <c r="M644" t="s">
        <v>4276</v>
      </c>
      <c r="N644" t="s">
        <v>4280</v>
      </c>
      <c r="O644" s="11">
        <v>426.1</v>
      </c>
      <c r="P644" s="9">
        <f>DecodeLabs[[#This Row],[Abandoned Cart]]*DecodeLabs[[#This Row],[UnitPrice]]</f>
        <v>170.44</v>
      </c>
    </row>
    <row r="645" spans="1:16" hidden="1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9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>
        <f t="shared" si="10"/>
        <v>3</v>
      </c>
      <c r="M645" t="s">
        <v>4275</v>
      </c>
      <c r="N645" t="s">
        <v>4279</v>
      </c>
      <c r="O645" s="11">
        <v>438.37</v>
      </c>
      <c r="P645" s="9">
        <f>DecodeLabs[[#This Row],[Abandoned Cart]]*DecodeLabs[[#This Row],[UnitPrice]]</f>
        <v>1315.1100000000001</v>
      </c>
    </row>
    <row r="646" spans="1:16" hidden="1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9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>
        <f t="shared" si="10"/>
        <v>0</v>
      </c>
      <c r="M646" t="s">
        <v>4277</v>
      </c>
      <c r="N646" t="s">
        <v>4280</v>
      </c>
      <c r="O646" s="11">
        <v>732.46</v>
      </c>
      <c r="P646" s="9">
        <f>DecodeLabs[[#This Row],[Abandoned Cart]]*DecodeLabs[[#This Row],[UnitPrice]]</f>
        <v>0</v>
      </c>
    </row>
    <row r="647" spans="1:16" hidden="1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9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>
        <f t="shared" si="10"/>
        <v>2</v>
      </c>
      <c r="M647" t="s">
        <v>4275</v>
      </c>
      <c r="N647" t="s">
        <v>4281</v>
      </c>
      <c r="O647" s="11">
        <v>300.10000000000002</v>
      </c>
      <c r="P647" s="9">
        <f>DecodeLabs[[#This Row],[Abandoned Cart]]*DecodeLabs[[#This Row],[UnitPrice]]</f>
        <v>300.10000000000002</v>
      </c>
    </row>
    <row r="648" spans="1:16" hidden="1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9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>
        <f t="shared" si="10"/>
        <v>0</v>
      </c>
      <c r="M648" t="s">
        <v>4275</v>
      </c>
      <c r="N648" t="s">
        <v>4282</v>
      </c>
      <c r="O648" s="11">
        <v>1994.04</v>
      </c>
      <c r="P648" s="9">
        <f>DecodeLabs[[#This Row],[Abandoned Cart]]*DecodeLabs[[#This Row],[UnitPrice]]</f>
        <v>0</v>
      </c>
    </row>
    <row r="649" spans="1:16" hidden="1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>
        <f t="shared" si="10"/>
        <v>4</v>
      </c>
      <c r="M649" t="s">
        <v>4276</v>
      </c>
      <c r="N649" t="s">
        <v>4282</v>
      </c>
      <c r="O649" s="11">
        <v>1018.17</v>
      </c>
      <c r="P649" s="9">
        <f>DecodeLabs[[#This Row],[Abandoned Cart]]*DecodeLabs[[#This Row],[UnitPrice]]</f>
        <v>1357.56</v>
      </c>
    </row>
    <row r="650" spans="1:16" hidden="1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9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>
        <f t="shared" si="10"/>
        <v>1</v>
      </c>
      <c r="M650" t="s">
        <v>4277</v>
      </c>
      <c r="N650" t="s">
        <v>4279</v>
      </c>
      <c r="O650" s="11">
        <v>1151.6600000000001</v>
      </c>
      <c r="P650" s="9">
        <f>DecodeLabs[[#This Row],[Abandoned Cart]]*DecodeLabs[[#This Row],[UnitPrice]]</f>
        <v>575.83000000000004</v>
      </c>
    </row>
    <row r="651" spans="1:16" hidden="1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9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>
        <f t="shared" si="10"/>
        <v>5</v>
      </c>
      <c r="M651" t="s">
        <v>4276</v>
      </c>
      <c r="N651" t="s">
        <v>4280</v>
      </c>
      <c r="O651" s="11">
        <v>1285.96</v>
      </c>
      <c r="P651" s="9">
        <f>DecodeLabs[[#This Row],[Abandoned Cart]]*DecodeLabs[[#This Row],[UnitPrice]]</f>
        <v>3214.9</v>
      </c>
    </row>
    <row r="652" spans="1:16" hidden="1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9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>
        <f t="shared" si="10"/>
        <v>5</v>
      </c>
      <c r="M652" t="s">
        <v>4275</v>
      </c>
      <c r="N652" t="s">
        <v>4280</v>
      </c>
      <c r="O652" s="11">
        <v>744.46</v>
      </c>
      <c r="P652" s="9">
        <f>DecodeLabs[[#This Row],[Abandoned Cart]]*DecodeLabs[[#This Row],[UnitPrice]]</f>
        <v>1861.15</v>
      </c>
    </row>
    <row r="653" spans="1:16" hidden="1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9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>
        <f t="shared" si="10"/>
        <v>2</v>
      </c>
      <c r="M653" t="s">
        <v>4283</v>
      </c>
      <c r="N653" t="s">
        <v>4282</v>
      </c>
      <c r="O653" s="11">
        <v>1939.02</v>
      </c>
      <c r="P653" s="9">
        <f>DecodeLabs[[#This Row],[Abandoned Cart]]*DecodeLabs[[#This Row],[UnitPrice]]</f>
        <v>1292.68</v>
      </c>
    </row>
    <row r="654" spans="1:16" hidden="1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9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>
        <f t="shared" si="10"/>
        <v>3</v>
      </c>
      <c r="M654" t="s">
        <v>4276</v>
      </c>
      <c r="N654" t="s">
        <v>4278</v>
      </c>
      <c r="O654" s="11">
        <v>1709.2</v>
      </c>
      <c r="P654" s="9">
        <f>DecodeLabs[[#This Row],[Abandoned Cart]]*DecodeLabs[[#This Row],[UnitPrice]]</f>
        <v>1025.52</v>
      </c>
    </row>
    <row r="655" spans="1:16" hidden="1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9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>
        <f t="shared" si="10"/>
        <v>3</v>
      </c>
      <c r="M655" t="s">
        <v>4277</v>
      </c>
      <c r="N655" t="s">
        <v>4282</v>
      </c>
      <c r="O655" s="11">
        <v>2070.9</v>
      </c>
      <c r="P655" s="9">
        <f>DecodeLabs[[#This Row],[Abandoned Cart]]*DecodeLabs[[#This Row],[UnitPrice]]</f>
        <v>2070.8999999999996</v>
      </c>
    </row>
    <row r="656" spans="1:16" hidden="1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9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>
        <f t="shared" si="10"/>
        <v>5</v>
      </c>
      <c r="M656" t="s">
        <v>4283</v>
      </c>
      <c r="N656" t="s">
        <v>4278</v>
      </c>
      <c r="O656" s="11">
        <v>1147.1099999999999</v>
      </c>
      <c r="P656" s="9">
        <f>DecodeLabs[[#This Row],[Abandoned Cart]]*DecodeLabs[[#This Row],[UnitPrice]]</f>
        <v>1911.85</v>
      </c>
    </row>
    <row r="657" spans="1:16" hidden="1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9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>
        <f t="shared" si="10"/>
        <v>2</v>
      </c>
      <c r="M657" t="s">
        <v>4277</v>
      </c>
      <c r="N657" t="s">
        <v>4280</v>
      </c>
      <c r="O657" s="11">
        <v>265.2</v>
      </c>
      <c r="P657" s="9">
        <f>DecodeLabs[[#This Row],[Abandoned Cart]]*DecodeLabs[[#This Row],[UnitPrice]]</f>
        <v>265.2</v>
      </c>
    </row>
    <row r="658" spans="1:16" hidden="1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9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>
        <f t="shared" si="10"/>
        <v>5</v>
      </c>
      <c r="M658" t="s">
        <v>4275</v>
      </c>
      <c r="N658" t="s">
        <v>4281</v>
      </c>
      <c r="O658" s="11">
        <v>378.12</v>
      </c>
      <c r="P658" s="9">
        <f>DecodeLabs[[#This Row],[Abandoned Cart]]*DecodeLabs[[#This Row],[UnitPrice]]</f>
        <v>945.3</v>
      </c>
    </row>
    <row r="659" spans="1:16" hidden="1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>
        <f t="shared" si="10"/>
        <v>2</v>
      </c>
      <c r="M659" t="s">
        <v>4276</v>
      </c>
      <c r="N659" t="s">
        <v>4278</v>
      </c>
      <c r="O659" s="11">
        <v>351.16</v>
      </c>
      <c r="P659" s="9">
        <f>DecodeLabs[[#This Row],[Abandoned Cart]]*DecodeLabs[[#This Row],[UnitPrice]]</f>
        <v>175.58</v>
      </c>
    </row>
    <row r="660" spans="1:16" hidden="1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9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>
        <f t="shared" si="10"/>
        <v>2</v>
      </c>
      <c r="M660" t="s">
        <v>4275</v>
      </c>
      <c r="N660" t="s">
        <v>4282</v>
      </c>
      <c r="O660" s="11">
        <v>92.72</v>
      </c>
      <c r="P660" s="9">
        <f>DecodeLabs[[#This Row],[Abandoned Cart]]*DecodeLabs[[#This Row],[UnitPrice]]</f>
        <v>92.72</v>
      </c>
    </row>
    <row r="661" spans="1:16" hidden="1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9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>
        <f t="shared" si="10"/>
        <v>2</v>
      </c>
      <c r="M661" t="s">
        <v>4277</v>
      </c>
      <c r="N661" t="s">
        <v>4280</v>
      </c>
      <c r="O661" s="11">
        <v>1284.08</v>
      </c>
      <c r="P661" s="9">
        <f>DecodeLabs[[#This Row],[Abandoned Cart]]*DecodeLabs[[#This Row],[UnitPrice]]</f>
        <v>1284.08</v>
      </c>
    </row>
    <row r="662" spans="1:16" hidden="1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9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>
        <f t="shared" si="10"/>
        <v>5</v>
      </c>
      <c r="M662" t="s">
        <v>4277</v>
      </c>
      <c r="N662" t="s">
        <v>4281</v>
      </c>
      <c r="O662" s="11">
        <v>1303.1400000000001</v>
      </c>
      <c r="P662" s="9">
        <f>DecodeLabs[[#This Row],[Abandoned Cart]]*DecodeLabs[[#This Row],[UnitPrice]]</f>
        <v>3257.8500000000004</v>
      </c>
    </row>
    <row r="663" spans="1:16" hidden="1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9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>
        <f t="shared" si="10"/>
        <v>3</v>
      </c>
      <c r="M663" t="s">
        <v>4276</v>
      </c>
      <c r="N663" t="s">
        <v>4282</v>
      </c>
      <c r="O663" s="11">
        <v>1274.67</v>
      </c>
      <c r="P663" s="9">
        <f>DecodeLabs[[#This Row],[Abandoned Cart]]*DecodeLabs[[#This Row],[UnitPrice]]</f>
        <v>1274.67</v>
      </c>
    </row>
    <row r="664" spans="1:16" hidden="1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9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>
        <f t="shared" si="10"/>
        <v>0</v>
      </c>
      <c r="M664" t="s">
        <v>4283</v>
      </c>
      <c r="N664" t="s">
        <v>4281</v>
      </c>
      <c r="O664" s="11">
        <v>1316.67</v>
      </c>
      <c r="P664" s="9">
        <f>DecodeLabs[[#This Row],[Abandoned Cart]]*DecodeLabs[[#This Row],[UnitPrice]]</f>
        <v>0</v>
      </c>
    </row>
    <row r="665" spans="1:16" hidden="1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9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>
        <f t="shared" si="10"/>
        <v>5</v>
      </c>
      <c r="M665" t="s">
        <v>4276</v>
      </c>
      <c r="N665" t="s">
        <v>4278</v>
      </c>
      <c r="O665" s="11">
        <v>72.599999999999994</v>
      </c>
      <c r="P665" s="9">
        <f>DecodeLabs[[#This Row],[Abandoned Cart]]*DecodeLabs[[#This Row],[UnitPrice]]</f>
        <v>363</v>
      </c>
    </row>
    <row r="666" spans="1:16" hidden="1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9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>
        <f t="shared" si="10"/>
        <v>1</v>
      </c>
      <c r="M666" t="s">
        <v>4283</v>
      </c>
      <c r="N666" t="s">
        <v>4281</v>
      </c>
      <c r="O666" s="11">
        <v>779</v>
      </c>
      <c r="P666" s="9">
        <f>DecodeLabs[[#This Row],[Abandoned Cart]]*DecodeLabs[[#This Row],[UnitPrice]]</f>
        <v>194.75</v>
      </c>
    </row>
    <row r="667" spans="1:16" hidden="1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9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>
        <f t="shared" si="10"/>
        <v>2</v>
      </c>
      <c r="M667" t="s">
        <v>4277</v>
      </c>
      <c r="N667" t="s">
        <v>4282</v>
      </c>
      <c r="O667" s="11">
        <v>925.04</v>
      </c>
      <c r="P667" s="9">
        <f>DecodeLabs[[#This Row],[Abandoned Cart]]*DecodeLabs[[#This Row],[UnitPrice]]</f>
        <v>462.52</v>
      </c>
    </row>
    <row r="668" spans="1:16" hidden="1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9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>
        <f t="shared" si="10"/>
        <v>0</v>
      </c>
      <c r="M668" t="s">
        <v>4283</v>
      </c>
      <c r="N668" t="s">
        <v>4280</v>
      </c>
      <c r="O668" s="11">
        <v>1308.48</v>
      </c>
      <c r="P668" s="9">
        <f>DecodeLabs[[#This Row],[Abandoned Cart]]*DecodeLabs[[#This Row],[UnitPrice]]</f>
        <v>0</v>
      </c>
    </row>
    <row r="669" spans="1:16" hidden="1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>
        <f t="shared" si="10"/>
        <v>4</v>
      </c>
      <c r="M669" t="s">
        <v>4275</v>
      </c>
      <c r="N669" t="s">
        <v>4280</v>
      </c>
      <c r="O669" s="11">
        <v>466.42</v>
      </c>
      <c r="P669" s="9">
        <f>DecodeLabs[[#This Row],[Abandoned Cart]]*DecodeLabs[[#This Row],[UnitPrice]]</f>
        <v>1865.68</v>
      </c>
    </row>
    <row r="670" spans="1:16" hidden="1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9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>
        <f t="shared" si="10"/>
        <v>1</v>
      </c>
      <c r="M670" t="s">
        <v>4277</v>
      </c>
      <c r="N670" t="s">
        <v>4281</v>
      </c>
      <c r="O670" s="11">
        <v>507.34</v>
      </c>
      <c r="P670" s="9">
        <f>DecodeLabs[[#This Row],[Abandoned Cart]]*DecodeLabs[[#This Row],[UnitPrice]]</f>
        <v>253.67</v>
      </c>
    </row>
    <row r="671" spans="1:16" hidden="1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9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>
        <f t="shared" si="10"/>
        <v>4</v>
      </c>
      <c r="M671" t="s">
        <v>4283</v>
      </c>
      <c r="N671" t="s">
        <v>4279</v>
      </c>
      <c r="O671" s="11">
        <v>257</v>
      </c>
      <c r="P671" s="9">
        <f>DecodeLabs[[#This Row],[Abandoned Cart]]*DecodeLabs[[#This Row],[UnitPrice]]</f>
        <v>1028</v>
      </c>
    </row>
    <row r="672" spans="1:16" hidden="1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9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>
        <f t="shared" si="10"/>
        <v>4</v>
      </c>
      <c r="M672" t="s">
        <v>4276</v>
      </c>
      <c r="N672" t="s">
        <v>4282</v>
      </c>
      <c r="O672" s="11">
        <v>2156.8000000000002</v>
      </c>
      <c r="P672" s="9">
        <f>DecodeLabs[[#This Row],[Abandoned Cart]]*DecodeLabs[[#This Row],[UnitPrice]]</f>
        <v>2156.8000000000002</v>
      </c>
    </row>
    <row r="673" spans="1:16" hidden="1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9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>
        <f t="shared" si="10"/>
        <v>2</v>
      </c>
      <c r="M673" t="s">
        <v>4277</v>
      </c>
      <c r="N673" t="s">
        <v>4282</v>
      </c>
      <c r="O673" s="11">
        <v>253.7</v>
      </c>
      <c r="P673" s="9">
        <f>DecodeLabs[[#This Row],[Abandoned Cart]]*DecodeLabs[[#This Row],[UnitPrice]]</f>
        <v>101.48</v>
      </c>
    </row>
    <row r="674" spans="1:16" hidden="1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9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>
        <f t="shared" si="10"/>
        <v>0</v>
      </c>
      <c r="M674" t="s">
        <v>4275</v>
      </c>
      <c r="N674" t="s">
        <v>4278</v>
      </c>
      <c r="O674" s="11">
        <v>1248.32</v>
      </c>
      <c r="P674" s="9">
        <f>DecodeLabs[[#This Row],[Abandoned Cart]]*DecodeLabs[[#This Row],[UnitPrice]]</f>
        <v>0</v>
      </c>
    </row>
    <row r="675" spans="1:16" hidden="1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9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>
        <f t="shared" si="10"/>
        <v>5</v>
      </c>
      <c r="M675" t="s">
        <v>4275</v>
      </c>
      <c r="N675" t="s">
        <v>4280</v>
      </c>
      <c r="O675" s="11">
        <v>745.84</v>
      </c>
      <c r="P675" s="9">
        <f>DecodeLabs[[#This Row],[Abandoned Cart]]*DecodeLabs[[#This Row],[UnitPrice]]</f>
        <v>1864.6000000000001</v>
      </c>
    </row>
    <row r="676" spans="1:16" hidden="1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9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>
        <f t="shared" si="10"/>
        <v>5</v>
      </c>
      <c r="M676" t="s">
        <v>4275</v>
      </c>
      <c r="N676" t="s">
        <v>4281</v>
      </c>
      <c r="O676" s="11">
        <v>1435</v>
      </c>
      <c r="P676" s="9">
        <f>DecodeLabs[[#This Row],[Abandoned Cart]]*DecodeLabs[[#This Row],[UnitPrice]]</f>
        <v>1793.75</v>
      </c>
    </row>
    <row r="677" spans="1:16" hidden="1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9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>
        <f t="shared" si="10"/>
        <v>2</v>
      </c>
      <c r="M677" t="s">
        <v>4283</v>
      </c>
      <c r="N677" t="s">
        <v>4280</v>
      </c>
      <c r="O677" s="11">
        <v>1026.06</v>
      </c>
      <c r="P677" s="9">
        <f>DecodeLabs[[#This Row],[Abandoned Cart]]*DecodeLabs[[#This Row],[UnitPrice]]</f>
        <v>684.04</v>
      </c>
    </row>
    <row r="678" spans="1:16" hidden="1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9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>
        <f t="shared" si="10"/>
        <v>2</v>
      </c>
      <c r="M678" t="s">
        <v>4276</v>
      </c>
      <c r="N678" t="s">
        <v>4278</v>
      </c>
      <c r="O678" s="11">
        <v>844.68</v>
      </c>
      <c r="P678" s="9">
        <f>DecodeLabs[[#This Row],[Abandoned Cart]]*DecodeLabs[[#This Row],[UnitPrice]]</f>
        <v>844.68</v>
      </c>
    </row>
    <row r="679" spans="1:16" hidden="1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>
        <f t="shared" si="10"/>
        <v>2</v>
      </c>
      <c r="M679" t="s">
        <v>4276</v>
      </c>
      <c r="N679" t="s">
        <v>4278</v>
      </c>
      <c r="O679" s="11">
        <v>110.35</v>
      </c>
      <c r="P679" s="9">
        <f>DecodeLabs[[#This Row],[Abandoned Cart]]*DecodeLabs[[#This Row],[UnitPrice]]</f>
        <v>44.14</v>
      </c>
    </row>
    <row r="680" spans="1:16" hidden="1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9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>
        <f t="shared" si="10"/>
        <v>2</v>
      </c>
      <c r="M680" t="s">
        <v>4277</v>
      </c>
      <c r="N680" t="s">
        <v>4281</v>
      </c>
      <c r="O680" s="11">
        <v>489.39</v>
      </c>
      <c r="P680" s="9">
        <f>DecodeLabs[[#This Row],[Abandoned Cart]]*DecodeLabs[[#This Row],[UnitPrice]]</f>
        <v>326.26</v>
      </c>
    </row>
    <row r="681" spans="1:16" hidden="1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9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>
        <f t="shared" si="10"/>
        <v>2</v>
      </c>
      <c r="M681" t="s">
        <v>4276</v>
      </c>
      <c r="N681" t="s">
        <v>4278</v>
      </c>
      <c r="O681" s="11">
        <v>1081.98</v>
      </c>
      <c r="P681" s="9">
        <f>DecodeLabs[[#This Row],[Abandoned Cart]]*DecodeLabs[[#This Row],[UnitPrice]]</f>
        <v>721.32</v>
      </c>
    </row>
    <row r="682" spans="1:16" hidden="1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9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>
        <f t="shared" si="10"/>
        <v>0</v>
      </c>
      <c r="M682" t="s">
        <v>4283</v>
      </c>
      <c r="N682" t="s">
        <v>4281</v>
      </c>
      <c r="O682" s="11">
        <v>1390.17</v>
      </c>
      <c r="P682" s="9">
        <f>DecodeLabs[[#This Row],[Abandoned Cart]]*DecodeLabs[[#This Row],[UnitPrice]]</f>
        <v>0</v>
      </c>
    </row>
    <row r="683" spans="1:16" hidden="1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9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>
        <f t="shared" si="10"/>
        <v>5</v>
      </c>
      <c r="M683" t="s">
        <v>4283</v>
      </c>
      <c r="N683" t="s">
        <v>4280</v>
      </c>
      <c r="O683" s="11">
        <v>155.27000000000001</v>
      </c>
      <c r="P683" s="9">
        <f>DecodeLabs[[#This Row],[Abandoned Cart]]*DecodeLabs[[#This Row],[UnitPrice]]</f>
        <v>776.35</v>
      </c>
    </row>
    <row r="684" spans="1:16" hidden="1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9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>
        <f t="shared" si="10"/>
        <v>2</v>
      </c>
      <c r="M684" t="s">
        <v>4276</v>
      </c>
      <c r="N684" t="s">
        <v>4282</v>
      </c>
      <c r="O684" s="11">
        <v>1528.26</v>
      </c>
      <c r="P684" s="9">
        <f>DecodeLabs[[#This Row],[Abandoned Cart]]*DecodeLabs[[#This Row],[UnitPrice]]</f>
        <v>1018.84</v>
      </c>
    </row>
    <row r="685" spans="1:16" hidden="1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9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>
        <f t="shared" si="10"/>
        <v>1</v>
      </c>
      <c r="M685" t="s">
        <v>4276</v>
      </c>
      <c r="N685" t="s">
        <v>4278</v>
      </c>
      <c r="O685" s="11">
        <v>2609.92</v>
      </c>
      <c r="P685" s="9">
        <f>DecodeLabs[[#This Row],[Abandoned Cart]]*DecodeLabs[[#This Row],[UnitPrice]]</f>
        <v>652.48</v>
      </c>
    </row>
    <row r="686" spans="1:16" hidden="1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9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>
        <f t="shared" si="10"/>
        <v>4</v>
      </c>
      <c r="M686" t="s">
        <v>4283</v>
      </c>
      <c r="N686" t="s">
        <v>4280</v>
      </c>
      <c r="O686" s="11">
        <v>139.36000000000001</v>
      </c>
      <c r="P686" s="9">
        <f>DecodeLabs[[#This Row],[Abandoned Cart]]*DecodeLabs[[#This Row],[UnitPrice]]</f>
        <v>139.36000000000001</v>
      </c>
    </row>
    <row r="687" spans="1:16" hidden="1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9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>
        <f t="shared" si="10"/>
        <v>4</v>
      </c>
      <c r="M687" t="s">
        <v>4276</v>
      </c>
      <c r="N687" t="s">
        <v>4280</v>
      </c>
      <c r="O687" s="11">
        <v>234.37</v>
      </c>
      <c r="P687" s="9">
        <f>DecodeLabs[[#This Row],[Abandoned Cart]]*DecodeLabs[[#This Row],[UnitPrice]]</f>
        <v>937.48</v>
      </c>
    </row>
    <row r="688" spans="1:16" hidden="1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9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>
        <f t="shared" si="10"/>
        <v>1</v>
      </c>
      <c r="M688" t="s">
        <v>4277</v>
      </c>
      <c r="N688" t="s">
        <v>4281</v>
      </c>
      <c r="O688" s="11">
        <v>160.80000000000001</v>
      </c>
      <c r="P688" s="9">
        <f>DecodeLabs[[#This Row],[Abandoned Cart]]*DecodeLabs[[#This Row],[UnitPrice]]</f>
        <v>53.6</v>
      </c>
    </row>
    <row r="689" spans="1:16" hidden="1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>
        <f t="shared" si="10"/>
        <v>4</v>
      </c>
      <c r="M689" t="s">
        <v>4276</v>
      </c>
      <c r="N689" t="s">
        <v>4278</v>
      </c>
      <c r="O689" s="11">
        <v>332.09</v>
      </c>
      <c r="P689" s="9">
        <f>DecodeLabs[[#This Row],[Abandoned Cart]]*DecodeLabs[[#This Row],[UnitPrice]]</f>
        <v>1328.36</v>
      </c>
    </row>
    <row r="690" spans="1:16" hidden="1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9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>
        <f t="shared" si="10"/>
        <v>4</v>
      </c>
      <c r="M690" t="s">
        <v>4277</v>
      </c>
      <c r="N690" t="s">
        <v>4281</v>
      </c>
      <c r="O690" s="11">
        <v>2372.88</v>
      </c>
      <c r="P690" s="9">
        <f>DecodeLabs[[#This Row],[Abandoned Cart]]*DecodeLabs[[#This Row],[UnitPrice]]</f>
        <v>2372.88</v>
      </c>
    </row>
    <row r="691" spans="1:16" hidden="1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9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>
        <f t="shared" si="10"/>
        <v>5</v>
      </c>
      <c r="M691" t="s">
        <v>4283</v>
      </c>
      <c r="N691" t="s">
        <v>4281</v>
      </c>
      <c r="O691" s="11">
        <v>889.68</v>
      </c>
      <c r="P691" s="9">
        <f>DecodeLabs[[#This Row],[Abandoned Cart]]*DecodeLabs[[#This Row],[UnitPrice]]</f>
        <v>2224.1999999999998</v>
      </c>
    </row>
    <row r="692" spans="1:16" hidden="1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9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>
        <f t="shared" si="10"/>
        <v>0</v>
      </c>
      <c r="M692" t="s">
        <v>4283</v>
      </c>
      <c r="N692" t="s">
        <v>4278</v>
      </c>
      <c r="O692" s="11">
        <v>24.48</v>
      </c>
      <c r="P692" s="9">
        <f>DecodeLabs[[#This Row],[Abandoned Cart]]*DecodeLabs[[#This Row],[UnitPrice]]</f>
        <v>0</v>
      </c>
    </row>
    <row r="693" spans="1:16" hidden="1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9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>
        <f t="shared" si="10"/>
        <v>5</v>
      </c>
      <c r="M693" t="s">
        <v>4283</v>
      </c>
      <c r="N693" t="s">
        <v>4282</v>
      </c>
      <c r="O693" s="11">
        <v>717.24</v>
      </c>
      <c r="P693" s="9">
        <f>DecodeLabs[[#This Row],[Abandoned Cart]]*DecodeLabs[[#This Row],[UnitPrice]]</f>
        <v>1195.4000000000001</v>
      </c>
    </row>
    <row r="694" spans="1:16" hidden="1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9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>
        <f t="shared" si="10"/>
        <v>0</v>
      </c>
      <c r="M694" t="s">
        <v>4277</v>
      </c>
      <c r="N694" t="s">
        <v>4278</v>
      </c>
      <c r="O694" s="11">
        <v>984.2</v>
      </c>
      <c r="P694" s="9">
        <f>DecodeLabs[[#This Row],[Abandoned Cart]]*DecodeLabs[[#This Row],[UnitPrice]]</f>
        <v>0</v>
      </c>
    </row>
    <row r="695" spans="1:16" hidden="1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9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>
        <f t="shared" si="10"/>
        <v>3</v>
      </c>
      <c r="M695" t="s">
        <v>4283</v>
      </c>
      <c r="N695" t="s">
        <v>4279</v>
      </c>
      <c r="O695" s="11">
        <v>176.58</v>
      </c>
      <c r="P695" s="9">
        <f>DecodeLabs[[#This Row],[Abandoned Cart]]*DecodeLabs[[#This Row],[UnitPrice]]</f>
        <v>529.74</v>
      </c>
    </row>
    <row r="696" spans="1:16" hidden="1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9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>
        <f t="shared" si="10"/>
        <v>4</v>
      </c>
      <c r="M696" t="s">
        <v>4276</v>
      </c>
      <c r="N696" t="s">
        <v>4280</v>
      </c>
      <c r="O696" s="11">
        <v>2666.08</v>
      </c>
      <c r="P696" s="9">
        <f>DecodeLabs[[#This Row],[Abandoned Cart]]*DecodeLabs[[#This Row],[UnitPrice]]</f>
        <v>2666.08</v>
      </c>
    </row>
    <row r="697" spans="1:16" hidden="1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9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>
        <f t="shared" si="10"/>
        <v>2</v>
      </c>
      <c r="M697" t="s">
        <v>4276</v>
      </c>
      <c r="N697" t="s">
        <v>4280</v>
      </c>
      <c r="O697" s="11">
        <v>506.5</v>
      </c>
      <c r="P697" s="9">
        <f>DecodeLabs[[#This Row],[Abandoned Cart]]*DecodeLabs[[#This Row],[UnitPrice]]</f>
        <v>202.6</v>
      </c>
    </row>
    <row r="698" spans="1:16" hidden="1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9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>
        <f t="shared" si="10"/>
        <v>5</v>
      </c>
      <c r="M698" t="s">
        <v>4277</v>
      </c>
      <c r="N698" t="s">
        <v>4281</v>
      </c>
      <c r="O698" s="11">
        <v>604.79999999999995</v>
      </c>
      <c r="P698" s="9">
        <f>DecodeLabs[[#This Row],[Abandoned Cart]]*DecodeLabs[[#This Row],[UnitPrice]]</f>
        <v>756</v>
      </c>
    </row>
    <row r="699" spans="1:16" hidden="1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>
        <f t="shared" si="10"/>
        <v>1</v>
      </c>
      <c r="M699" t="s">
        <v>4277</v>
      </c>
      <c r="N699" t="s">
        <v>4280</v>
      </c>
      <c r="O699" s="11">
        <v>474.25</v>
      </c>
      <c r="P699" s="9">
        <f>DecodeLabs[[#This Row],[Abandoned Cart]]*DecodeLabs[[#This Row],[UnitPrice]]</f>
        <v>94.85</v>
      </c>
    </row>
    <row r="700" spans="1:16" hidden="1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9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>
        <f t="shared" si="10"/>
        <v>0</v>
      </c>
      <c r="M700" t="s">
        <v>4277</v>
      </c>
      <c r="N700" t="s">
        <v>4278</v>
      </c>
      <c r="O700" s="11">
        <v>776.44</v>
      </c>
      <c r="P700" s="9">
        <f>DecodeLabs[[#This Row],[Abandoned Cart]]*DecodeLabs[[#This Row],[UnitPrice]]</f>
        <v>0</v>
      </c>
    </row>
    <row r="701" spans="1:16" hidden="1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9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>
        <f t="shared" si="10"/>
        <v>0</v>
      </c>
      <c r="M701" t="s">
        <v>4283</v>
      </c>
      <c r="N701" t="s">
        <v>4281</v>
      </c>
      <c r="O701" s="11">
        <v>1842.45</v>
      </c>
      <c r="P701" s="9">
        <f>DecodeLabs[[#This Row],[Abandoned Cart]]*DecodeLabs[[#This Row],[UnitPrice]]</f>
        <v>0</v>
      </c>
    </row>
    <row r="702" spans="1:16" hidden="1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9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>
        <f t="shared" si="10"/>
        <v>1</v>
      </c>
      <c r="M702" t="s">
        <v>4277</v>
      </c>
      <c r="N702" t="s">
        <v>4278</v>
      </c>
      <c r="O702" s="11">
        <v>185.82</v>
      </c>
      <c r="P702" s="9">
        <f>DecodeLabs[[#This Row],[Abandoned Cart]]*DecodeLabs[[#This Row],[UnitPrice]]</f>
        <v>92.91</v>
      </c>
    </row>
    <row r="703" spans="1:16" hidden="1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9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>
        <f t="shared" si="10"/>
        <v>2</v>
      </c>
      <c r="M703" t="s">
        <v>4276</v>
      </c>
      <c r="N703" t="s">
        <v>4280</v>
      </c>
      <c r="O703" s="11">
        <v>276.66000000000003</v>
      </c>
      <c r="P703" s="9">
        <f>DecodeLabs[[#This Row],[Abandoned Cart]]*DecodeLabs[[#This Row],[UnitPrice]]</f>
        <v>184.44</v>
      </c>
    </row>
    <row r="704" spans="1:16" hidden="1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9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>
        <f t="shared" si="10"/>
        <v>3</v>
      </c>
      <c r="M704" t="s">
        <v>4283</v>
      </c>
      <c r="N704" t="s">
        <v>4280</v>
      </c>
      <c r="O704" s="11">
        <v>1687.65</v>
      </c>
      <c r="P704" s="9">
        <f>DecodeLabs[[#This Row],[Abandoned Cart]]*DecodeLabs[[#This Row],[UnitPrice]]</f>
        <v>1687.6499999999999</v>
      </c>
    </row>
    <row r="705" spans="1:16" hidden="1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9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>
        <f t="shared" si="10"/>
        <v>2</v>
      </c>
      <c r="M705" t="s">
        <v>4277</v>
      </c>
      <c r="N705" t="s">
        <v>4280</v>
      </c>
      <c r="O705" s="11">
        <v>92.79</v>
      </c>
      <c r="P705" s="9">
        <f>DecodeLabs[[#This Row],[Abandoned Cart]]*DecodeLabs[[#This Row],[UnitPrice]]</f>
        <v>185.58</v>
      </c>
    </row>
    <row r="706" spans="1:16" hidden="1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9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>
        <f t="shared" ref="L706:L769" si="11">K706-E706</f>
        <v>5</v>
      </c>
      <c r="M706" t="s">
        <v>4276</v>
      </c>
      <c r="N706" t="s">
        <v>4282</v>
      </c>
      <c r="O706" s="11">
        <v>121.08</v>
      </c>
      <c r="P706" s="9">
        <f>DecodeLabs[[#This Row],[Abandoned Cart]]*DecodeLabs[[#This Row],[UnitPrice]]</f>
        <v>151.35</v>
      </c>
    </row>
    <row r="707" spans="1:16" hidden="1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9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>
        <f t="shared" si="11"/>
        <v>5</v>
      </c>
      <c r="M707" t="s">
        <v>4276</v>
      </c>
      <c r="N707" t="s">
        <v>4278</v>
      </c>
      <c r="O707" s="11">
        <v>98.16</v>
      </c>
      <c r="P707" s="9">
        <f>DecodeLabs[[#This Row],[Abandoned Cart]]*DecodeLabs[[#This Row],[UnitPrice]]</f>
        <v>245.39999999999998</v>
      </c>
    </row>
    <row r="708" spans="1:16" hidden="1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9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>
        <f t="shared" si="11"/>
        <v>4</v>
      </c>
      <c r="M708" t="s">
        <v>4276</v>
      </c>
      <c r="N708" t="s">
        <v>4281</v>
      </c>
      <c r="O708" s="11">
        <v>1140.45</v>
      </c>
      <c r="P708" s="9">
        <f>DecodeLabs[[#This Row],[Abandoned Cart]]*DecodeLabs[[#This Row],[UnitPrice]]</f>
        <v>912.36</v>
      </c>
    </row>
    <row r="709" spans="1:16" hidden="1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>
        <f t="shared" si="11"/>
        <v>2</v>
      </c>
      <c r="M709" t="s">
        <v>4275</v>
      </c>
      <c r="N709" t="s">
        <v>4281</v>
      </c>
      <c r="O709" s="11">
        <v>2600.16</v>
      </c>
      <c r="P709" s="9">
        <f>DecodeLabs[[#This Row],[Abandoned Cart]]*DecodeLabs[[#This Row],[UnitPrice]]</f>
        <v>1300.08</v>
      </c>
    </row>
    <row r="710" spans="1:16" hidden="1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9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>
        <f t="shared" si="11"/>
        <v>2</v>
      </c>
      <c r="M710" t="s">
        <v>4276</v>
      </c>
      <c r="N710" t="s">
        <v>4278</v>
      </c>
      <c r="O710" s="11">
        <v>665.11</v>
      </c>
      <c r="P710" s="9">
        <f>DecodeLabs[[#This Row],[Abandoned Cart]]*DecodeLabs[[#This Row],[UnitPrice]]</f>
        <v>1330.22</v>
      </c>
    </row>
    <row r="711" spans="1:16" hidden="1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9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>
        <f t="shared" si="11"/>
        <v>3</v>
      </c>
      <c r="M711" t="s">
        <v>4276</v>
      </c>
      <c r="N711" t="s">
        <v>4282</v>
      </c>
      <c r="O711" s="11">
        <v>386.03</v>
      </c>
      <c r="P711" s="9">
        <f>DecodeLabs[[#This Row],[Abandoned Cart]]*DecodeLabs[[#This Row],[UnitPrice]]</f>
        <v>1158.0899999999999</v>
      </c>
    </row>
    <row r="712" spans="1:16" hidden="1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9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>
        <f t="shared" si="11"/>
        <v>5</v>
      </c>
      <c r="M712" t="s">
        <v>4283</v>
      </c>
      <c r="N712" t="s">
        <v>4282</v>
      </c>
      <c r="O712" s="11">
        <v>107.7</v>
      </c>
      <c r="P712" s="9">
        <f>DecodeLabs[[#This Row],[Abandoned Cart]]*DecodeLabs[[#This Row],[UnitPrice]]</f>
        <v>107.69999999999999</v>
      </c>
    </row>
    <row r="713" spans="1:16" hidden="1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9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>
        <f t="shared" si="11"/>
        <v>0</v>
      </c>
      <c r="M713" t="s">
        <v>4277</v>
      </c>
      <c r="N713" t="s">
        <v>4282</v>
      </c>
      <c r="O713" s="11">
        <v>951.56</v>
      </c>
      <c r="P713" s="9">
        <f>DecodeLabs[[#This Row],[Abandoned Cart]]*DecodeLabs[[#This Row],[UnitPrice]]</f>
        <v>0</v>
      </c>
    </row>
    <row r="714" spans="1:16" hidden="1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9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>
        <f t="shared" si="11"/>
        <v>5</v>
      </c>
      <c r="M714" t="s">
        <v>4276</v>
      </c>
      <c r="N714" t="s">
        <v>4280</v>
      </c>
      <c r="O714" s="11">
        <v>136.80000000000001</v>
      </c>
      <c r="P714" s="9">
        <f>DecodeLabs[[#This Row],[Abandoned Cart]]*DecodeLabs[[#This Row],[UnitPrice]]</f>
        <v>342</v>
      </c>
    </row>
    <row r="715" spans="1:16" hidden="1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9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>
        <f t="shared" si="11"/>
        <v>2</v>
      </c>
      <c r="M715" t="s">
        <v>4275</v>
      </c>
      <c r="N715" t="s">
        <v>4281</v>
      </c>
      <c r="O715" s="11">
        <v>2129.96</v>
      </c>
      <c r="P715" s="9">
        <f>DecodeLabs[[#This Row],[Abandoned Cart]]*DecodeLabs[[#This Row],[UnitPrice]]</f>
        <v>1064.98</v>
      </c>
    </row>
    <row r="716" spans="1:16" hidden="1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9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>
        <f t="shared" si="11"/>
        <v>0</v>
      </c>
      <c r="M716" t="s">
        <v>4276</v>
      </c>
      <c r="N716" t="s">
        <v>4281</v>
      </c>
      <c r="O716" s="11">
        <v>51.73</v>
      </c>
      <c r="P716" s="9">
        <f>DecodeLabs[[#This Row],[Abandoned Cart]]*DecodeLabs[[#This Row],[UnitPrice]]</f>
        <v>0</v>
      </c>
    </row>
    <row r="717" spans="1:16" hidden="1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9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>
        <f t="shared" si="11"/>
        <v>4</v>
      </c>
      <c r="M717" t="s">
        <v>4276</v>
      </c>
      <c r="N717" t="s">
        <v>4280</v>
      </c>
      <c r="O717" s="11">
        <v>1960.89</v>
      </c>
      <c r="P717" s="9">
        <f>DecodeLabs[[#This Row],[Abandoned Cart]]*DecodeLabs[[#This Row],[UnitPrice]]</f>
        <v>2614.52</v>
      </c>
    </row>
    <row r="718" spans="1:16" hidden="1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9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>
        <f t="shared" si="11"/>
        <v>1</v>
      </c>
      <c r="M718" t="s">
        <v>4277</v>
      </c>
      <c r="N718" t="s">
        <v>4282</v>
      </c>
      <c r="O718" s="11">
        <v>1362.87</v>
      </c>
      <c r="P718" s="9">
        <f>DecodeLabs[[#This Row],[Abandoned Cart]]*DecodeLabs[[#This Row],[UnitPrice]]</f>
        <v>454.29</v>
      </c>
    </row>
    <row r="719" spans="1:16" hidden="1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>
        <f t="shared" si="11"/>
        <v>1</v>
      </c>
      <c r="M719" t="s">
        <v>4277</v>
      </c>
      <c r="N719" t="s">
        <v>4280</v>
      </c>
      <c r="O719" s="11">
        <v>366.33</v>
      </c>
      <c r="P719" s="9">
        <f>DecodeLabs[[#This Row],[Abandoned Cart]]*DecodeLabs[[#This Row],[UnitPrice]]</f>
        <v>122.11</v>
      </c>
    </row>
    <row r="720" spans="1:16" hidden="1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9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>
        <f t="shared" si="11"/>
        <v>4</v>
      </c>
      <c r="M720" t="s">
        <v>4275</v>
      </c>
      <c r="N720" t="s">
        <v>4282</v>
      </c>
      <c r="O720" s="11">
        <v>258.95999999999998</v>
      </c>
      <c r="P720" s="9">
        <f>DecodeLabs[[#This Row],[Abandoned Cart]]*DecodeLabs[[#This Row],[UnitPrice]]</f>
        <v>258.95999999999998</v>
      </c>
    </row>
    <row r="721" spans="1:16" hidden="1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9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>
        <f t="shared" si="11"/>
        <v>1</v>
      </c>
      <c r="M721" t="s">
        <v>4276</v>
      </c>
      <c r="N721" t="s">
        <v>4281</v>
      </c>
      <c r="O721" s="11">
        <v>1362.12</v>
      </c>
      <c r="P721" s="9">
        <f>DecodeLabs[[#This Row],[Abandoned Cart]]*DecodeLabs[[#This Row],[UnitPrice]]</f>
        <v>681.06</v>
      </c>
    </row>
    <row r="722" spans="1:16" hidden="1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9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>
        <f t="shared" si="11"/>
        <v>5</v>
      </c>
      <c r="M722" t="s">
        <v>4276</v>
      </c>
      <c r="N722" t="s">
        <v>4278</v>
      </c>
      <c r="O722" s="11">
        <v>644.75</v>
      </c>
      <c r="P722" s="9">
        <f>DecodeLabs[[#This Row],[Abandoned Cart]]*DecodeLabs[[#This Row],[UnitPrice]]</f>
        <v>644.75</v>
      </c>
    </row>
    <row r="723" spans="1:16" hidden="1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9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>
        <f t="shared" si="11"/>
        <v>0</v>
      </c>
      <c r="M723" t="s">
        <v>4283</v>
      </c>
      <c r="N723" t="s">
        <v>4280</v>
      </c>
      <c r="O723" s="11">
        <v>237.18</v>
      </c>
      <c r="P723" s="9">
        <f>DecodeLabs[[#This Row],[Abandoned Cart]]*DecodeLabs[[#This Row],[UnitPrice]]</f>
        <v>0</v>
      </c>
    </row>
    <row r="724" spans="1:16" hidden="1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9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>
        <f t="shared" si="11"/>
        <v>0</v>
      </c>
      <c r="M724" t="s">
        <v>4277</v>
      </c>
      <c r="N724" t="s">
        <v>4278</v>
      </c>
      <c r="O724" s="11">
        <v>95.1</v>
      </c>
      <c r="P724" s="9">
        <f>DecodeLabs[[#This Row],[Abandoned Cart]]*DecodeLabs[[#This Row],[UnitPrice]]</f>
        <v>0</v>
      </c>
    </row>
    <row r="725" spans="1:16" hidden="1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9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>
        <f t="shared" si="11"/>
        <v>5</v>
      </c>
      <c r="M725" t="s">
        <v>4275</v>
      </c>
      <c r="N725" t="s">
        <v>4279</v>
      </c>
      <c r="O725" s="11">
        <v>164.85</v>
      </c>
      <c r="P725" s="9">
        <f>DecodeLabs[[#This Row],[Abandoned Cart]]*DecodeLabs[[#This Row],[UnitPrice]]</f>
        <v>274.75</v>
      </c>
    </row>
    <row r="726" spans="1:16" hidden="1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9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>
        <f t="shared" si="11"/>
        <v>1</v>
      </c>
      <c r="M726" t="s">
        <v>4276</v>
      </c>
      <c r="N726" t="s">
        <v>4279</v>
      </c>
      <c r="O726" s="11">
        <v>410.91</v>
      </c>
      <c r="P726" s="9">
        <f>DecodeLabs[[#This Row],[Abandoned Cart]]*DecodeLabs[[#This Row],[UnitPrice]]</f>
        <v>136.97</v>
      </c>
    </row>
    <row r="727" spans="1:16" hidden="1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9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>
        <f t="shared" si="11"/>
        <v>3</v>
      </c>
      <c r="M727" t="s">
        <v>4283</v>
      </c>
      <c r="N727" t="s">
        <v>4279</v>
      </c>
      <c r="O727" s="11">
        <v>389.7</v>
      </c>
      <c r="P727" s="9">
        <f>DecodeLabs[[#This Row],[Abandoned Cart]]*DecodeLabs[[#This Row],[UnitPrice]]</f>
        <v>584.54999999999995</v>
      </c>
    </row>
    <row r="728" spans="1:16" hidden="1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9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>
        <f t="shared" si="11"/>
        <v>0</v>
      </c>
      <c r="M728" t="s">
        <v>4276</v>
      </c>
      <c r="N728" t="s">
        <v>4281</v>
      </c>
      <c r="O728" s="11">
        <v>2332.08</v>
      </c>
      <c r="P728" s="9">
        <f>DecodeLabs[[#This Row],[Abandoned Cart]]*DecodeLabs[[#This Row],[UnitPrice]]</f>
        <v>0</v>
      </c>
    </row>
    <row r="729" spans="1:16" hidden="1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>
        <f t="shared" si="11"/>
        <v>3</v>
      </c>
      <c r="M729" t="s">
        <v>4275</v>
      </c>
      <c r="N729" t="s">
        <v>4278</v>
      </c>
      <c r="O729" s="11">
        <v>478.75</v>
      </c>
      <c r="P729" s="9">
        <f>DecodeLabs[[#This Row],[Abandoned Cart]]*DecodeLabs[[#This Row],[UnitPrice]]</f>
        <v>287.25</v>
      </c>
    </row>
    <row r="730" spans="1:16" hidden="1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9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>
        <f t="shared" si="11"/>
        <v>4</v>
      </c>
      <c r="M730" t="s">
        <v>4277</v>
      </c>
      <c r="N730" t="s">
        <v>4280</v>
      </c>
      <c r="O730" s="11">
        <v>1303.04</v>
      </c>
      <c r="P730" s="9">
        <f>DecodeLabs[[#This Row],[Abandoned Cart]]*DecodeLabs[[#This Row],[UnitPrice]]</f>
        <v>1303.04</v>
      </c>
    </row>
    <row r="731" spans="1:16" hidden="1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9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>
        <f t="shared" si="11"/>
        <v>2</v>
      </c>
      <c r="M731" t="s">
        <v>4275</v>
      </c>
      <c r="N731" t="s">
        <v>4282</v>
      </c>
      <c r="O731" s="11">
        <v>745.64</v>
      </c>
      <c r="P731" s="9">
        <f>DecodeLabs[[#This Row],[Abandoned Cart]]*DecodeLabs[[#This Row],[UnitPrice]]</f>
        <v>372.82</v>
      </c>
    </row>
    <row r="732" spans="1:16" hidden="1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9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>
        <f t="shared" si="11"/>
        <v>3</v>
      </c>
      <c r="M732" t="s">
        <v>4275</v>
      </c>
      <c r="N732" t="s">
        <v>4280</v>
      </c>
      <c r="O732" s="11">
        <v>474.6</v>
      </c>
      <c r="P732" s="9">
        <f>DecodeLabs[[#This Row],[Abandoned Cart]]*DecodeLabs[[#This Row],[UnitPrice]]</f>
        <v>1423.8000000000002</v>
      </c>
    </row>
    <row r="733" spans="1:16" hidden="1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9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>
        <f t="shared" si="11"/>
        <v>3</v>
      </c>
      <c r="M733" t="s">
        <v>4283</v>
      </c>
      <c r="N733" t="s">
        <v>4280</v>
      </c>
      <c r="O733" s="11">
        <v>2922.3</v>
      </c>
      <c r="P733" s="9">
        <f>DecodeLabs[[#This Row],[Abandoned Cart]]*DecodeLabs[[#This Row],[UnitPrice]]</f>
        <v>1753.38</v>
      </c>
    </row>
    <row r="734" spans="1:16" hidden="1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9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>
        <f t="shared" si="11"/>
        <v>1</v>
      </c>
      <c r="M734" t="s">
        <v>4283</v>
      </c>
      <c r="N734" t="s">
        <v>4282</v>
      </c>
      <c r="O734" s="11">
        <v>132.05000000000001</v>
      </c>
      <c r="P734" s="9">
        <f>DecodeLabs[[#This Row],[Abandoned Cart]]*DecodeLabs[[#This Row],[UnitPrice]]</f>
        <v>132.05000000000001</v>
      </c>
    </row>
    <row r="735" spans="1:16" hidden="1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9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>
        <f t="shared" si="11"/>
        <v>4</v>
      </c>
      <c r="M735" t="s">
        <v>4275</v>
      </c>
      <c r="N735" t="s">
        <v>4280</v>
      </c>
      <c r="O735" s="11">
        <v>1979.36</v>
      </c>
      <c r="P735" s="9">
        <f>DecodeLabs[[#This Row],[Abandoned Cart]]*DecodeLabs[[#This Row],[UnitPrice]]</f>
        <v>1979.36</v>
      </c>
    </row>
    <row r="736" spans="1:16" hidden="1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9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>
        <f t="shared" si="11"/>
        <v>2</v>
      </c>
      <c r="M736" t="s">
        <v>4277</v>
      </c>
      <c r="N736" t="s">
        <v>4281</v>
      </c>
      <c r="O736" s="11">
        <v>898.44</v>
      </c>
      <c r="P736" s="9">
        <f>DecodeLabs[[#This Row],[Abandoned Cart]]*DecodeLabs[[#This Row],[UnitPrice]]</f>
        <v>449.22</v>
      </c>
    </row>
    <row r="737" spans="1:16" hidden="1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9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>
        <f t="shared" si="11"/>
        <v>2</v>
      </c>
      <c r="M737" t="s">
        <v>4283</v>
      </c>
      <c r="N737" t="s">
        <v>4280</v>
      </c>
      <c r="O737" s="11">
        <v>176.28</v>
      </c>
      <c r="P737" s="9">
        <f>DecodeLabs[[#This Row],[Abandoned Cart]]*DecodeLabs[[#This Row],[UnitPrice]]</f>
        <v>88.14</v>
      </c>
    </row>
    <row r="738" spans="1:16" hidden="1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9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>
        <f t="shared" si="11"/>
        <v>1</v>
      </c>
      <c r="M738" t="s">
        <v>4276</v>
      </c>
      <c r="N738" t="s">
        <v>4282</v>
      </c>
      <c r="O738" s="11">
        <v>2092.65</v>
      </c>
      <c r="P738" s="9">
        <f>DecodeLabs[[#This Row],[Abandoned Cart]]*DecodeLabs[[#This Row],[UnitPrice]]</f>
        <v>418.53</v>
      </c>
    </row>
    <row r="739" spans="1:16" hidden="1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>
        <f t="shared" si="11"/>
        <v>5</v>
      </c>
      <c r="M739" t="s">
        <v>4276</v>
      </c>
      <c r="N739" t="s">
        <v>4278</v>
      </c>
      <c r="O739" s="11">
        <v>2131.48</v>
      </c>
      <c r="P739" s="9">
        <f>DecodeLabs[[#This Row],[Abandoned Cart]]*DecodeLabs[[#This Row],[UnitPrice]]</f>
        <v>2664.35</v>
      </c>
    </row>
    <row r="740" spans="1:16" hidden="1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9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>
        <f t="shared" si="11"/>
        <v>3</v>
      </c>
      <c r="M740" t="s">
        <v>4275</v>
      </c>
      <c r="N740" t="s">
        <v>4280</v>
      </c>
      <c r="O740" s="11">
        <v>970.74</v>
      </c>
      <c r="P740" s="9">
        <f>DecodeLabs[[#This Row],[Abandoned Cart]]*DecodeLabs[[#This Row],[UnitPrice]]</f>
        <v>1456.1100000000001</v>
      </c>
    </row>
    <row r="741" spans="1:16" hidden="1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9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>
        <f t="shared" si="11"/>
        <v>0</v>
      </c>
      <c r="M741" t="s">
        <v>4275</v>
      </c>
      <c r="N741" t="s">
        <v>4281</v>
      </c>
      <c r="O741" s="11">
        <v>1546.92</v>
      </c>
      <c r="P741" s="9">
        <f>DecodeLabs[[#This Row],[Abandoned Cart]]*DecodeLabs[[#This Row],[UnitPrice]]</f>
        <v>0</v>
      </c>
    </row>
    <row r="742" spans="1:16" hidden="1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9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>
        <f t="shared" si="11"/>
        <v>5</v>
      </c>
      <c r="M742" t="s">
        <v>4283</v>
      </c>
      <c r="N742" t="s">
        <v>4282</v>
      </c>
      <c r="O742" s="11">
        <v>754.94</v>
      </c>
      <c r="P742" s="9">
        <f>DecodeLabs[[#This Row],[Abandoned Cart]]*DecodeLabs[[#This Row],[UnitPrice]]</f>
        <v>1887.3500000000001</v>
      </c>
    </row>
    <row r="743" spans="1:16" hidden="1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9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>
        <f t="shared" si="11"/>
        <v>5</v>
      </c>
      <c r="M743" t="s">
        <v>4283</v>
      </c>
      <c r="N743" t="s">
        <v>4279</v>
      </c>
      <c r="O743" s="11">
        <v>1663.2</v>
      </c>
      <c r="P743" s="9">
        <f>DecodeLabs[[#This Row],[Abandoned Cart]]*DecodeLabs[[#This Row],[UnitPrice]]</f>
        <v>1663.1999999999998</v>
      </c>
    </row>
    <row r="744" spans="1:16" hidden="1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9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>
        <f t="shared" si="11"/>
        <v>4</v>
      </c>
      <c r="M744" t="s">
        <v>4275</v>
      </c>
      <c r="N744" t="s">
        <v>4282</v>
      </c>
      <c r="O744" s="11">
        <v>2099.79</v>
      </c>
      <c r="P744" s="9">
        <f>DecodeLabs[[#This Row],[Abandoned Cart]]*DecodeLabs[[#This Row],[UnitPrice]]</f>
        <v>2799.72</v>
      </c>
    </row>
    <row r="745" spans="1:16" hidden="1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9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>
        <f t="shared" si="11"/>
        <v>0</v>
      </c>
      <c r="M745" t="s">
        <v>4277</v>
      </c>
      <c r="N745" t="s">
        <v>4278</v>
      </c>
      <c r="O745" s="11">
        <v>576.35</v>
      </c>
      <c r="P745" s="9">
        <f>DecodeLabs[[#This Row],[Abandoned Cart]]*DecodeLabs[[#This Row],[UnitPrice]]</f>
        <v>0</v>
      </c>
    </row>
    <row r="746" spans="1:16" hidden="1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9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>
        <f t="shared" si="11"/>
        <v>3</v>
      </c>
      <c r="M746" t="s">
        <v>4275</v>
      </c>
      <c r="N746" t="s">
        <v>4282</v>
      </c>
      <c r="O746" s="11">
        <v>922.74</v>
      </c>
      <c r="P746" s="9">
        <f>DecodeLabs[[#This Row],[Abandoned Cart]]*DecodeLabs[[#This Row],[UnitPrice]]</f>
        <v>1384.1100000000001</v>
      </c>
    </row>
    <row r="747" spans="1:16" hidden="1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9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>
        <f t="shared" si="11"/>
        <v>3</v>
      </c>
      <c r="M747" t="s">
        <v>4276</v>
      </c>
      <c r="N747" t="s">
        <v>4280</v>
      </c>
      <c r="O747" s="11">
        <v>445.2</v>
      </c>
      <c r="P747" s="9">
        <f>DecodeLabs[[#This Row],[Abandoned Cart]]*DecodeLabs[[#This Row],[UnitPrice]]</f>
        <v>333.9</v>
      </c>
    </row>
    <row r="748" spans="1:16" hidden="1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9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>
        <f t="shared" si="11"/>
        <v>3</v>
      </c>
      <c r="M748" t="s">
        <v>4277</v>
      </c>
      <c r="N748" t="s">
        <v>4279</v>
      </c>
      <c r="O748" s="11">
        <v>1985.67</v>
      </c>
      <c r="P748" s="9">
        <f>DecodeLabs[[#This Row],[Abandoned Cart]]*DecodeLabs[[#This Row],[UnitPrice]]</f>
        <v>1985.67</v>
      </c>
    </row>
    <row r="749" spans="1:16" hidden="1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>
        <f t="shared" si="11"/>
        <v>5</v>
      </c>
      <c r="M749" t="s">
        <v>4276</v>
      </c>
      <c r="N749" t="s">
        <v>4278</v>
      </c>
      <c r="O749" s="11">
        <v>519.16</v>
      </c>
      <c r="P749" s="9">
        <f>DecodeLabs[[#This Row],[Abandoned Cart]]*DecodeLabs[[#This Row],[UnitPrice]]</f>
        <v>1297.8999999999999</v>
      </c>
    </row>
    <row r="750" spans="1:16" hidden="1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9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>
        <f t="shared" si="11"/>
        <v>5</v>
      </c>
      <c r="M750" t="s">
        <v>4276</v>
      </c>
      <c r="N750" t="s">
        <v>4279</v>
      </c>
      <c r="O750" s="11">
        <v>212.43</v>
      </c>
      <c r="P750" s="9">
        <f>DecodeLabs[[#This Row],[Abandoned Cart]]*DecodeLabs[[#This Row],[UnitPrice]]</f>
        <v>354.05</v>
      </c>
    </row>
    <row r="751" spans="1:16" hidden="1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9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>
        <f t="shared" si="11"/>
        <v>3</v>
      </c>
      <c r="M751" t="s">
        <v>4276</v>
      </c>
      <c r="N751" t="s">
        <v>4278</v>
      </c>
      <c r="O751" s="11">
        <v>518.39</v>
      </c>
      <c r="P751" s="9">
        <f>DecodeLabs[[#This Row],[Abandoned Cart]]*DecodeLabs[[#This Row],[UnitPrice]]</f>
        <v>1555.17</v>
      </c>
    </row>
    <row r="752" spans="1:16" hidden="1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9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>
        <f t="shared" si="11"/>
        <v>3</v>
      </c>
      <c r="M752" t="s">
        <v>4276</v>
      </c>
      <c r="N752" t="s">
        <v>4280</v>
      </c>
      <c r="O752" s="11">
        <v>581.64</v>
      </c>
      <c r="P752" s="9">
        <f>DecodeLabs[[#This Row],[Abandoned Cart]]*DecodeLabs[[#This Row],[UnitPrice]]</f>
        <v>436.23</v>
      </c>
    </row>
    <row r="753" spans="1:16" hidden="1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9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>
        <f t="shared" si="11"/>
        <v>5</v>
      </c>
      <c r="M753" t="s">
        <v>4276</v>
      </c>
      <c r="N753" t="s">
        <v>4281</v>
      </c>
      <c r="O753" s="11">
        <v>1199.72</v>
      </c>
      <c r="P753" s="9">
        <f>DecodeLabs[[#This Row],[Abandoned Cart]]*DecodeLabs[[#This Row],[UnitPrice]]</f>
        <v>2999.3</v>
      </c>
    </row>
    <row r="754" spans="1:16" hidden="1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9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>
        <f t="shared" si="11"/>
        <v>4</v>
      </c>
      <c r="M754" t="s">
        <v>4276</v>
      </c>
      <c r="N754" t="s">
        <v>4282</v>
      </c>
      <c r="O754" s="11">
        <v>1717.48</v>
      </c>
      <c r="P754" s="9">
        <f>DecodeLabs[[#This Row],[Abandoned Cart]]*DecodeLabs[[#This Row],[UnitPrice]]</f>
        <v>1717.48</v>
      </c>
    </row>
    <row r="755" spans="1:16" hidden="1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9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>
        <f t="shared" si="11"/>
        <v>5</v>
      </c>
      <c r="M755" t="s">
        <v>4276</v>
      </c>
      <c r="N755" t="s">
        <v>4278</v>
      </c>
      <c r="O755" s="11">
        <v>482.98</v>
      </c>
      <c r="P755" s="9">
        <f>DecodeLabs[[#This Row],[Abandoned Cart]]*DecodeLabs[[#This Row],[UnitPrice]]</f>
        <v>1207.45</v>
      </c>
    </row>
    <row r="756" spans="1:16" hidden="1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9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>
        <f t="shared" si="11"/>
        <v>1</v>
      </c>
      <c r="M756" t="s">
        <v>4277</v>
      </c>
      <c r="N756" t="s">
        <v>4280</v>
      </c>
      <c r="O756" s="11">
        <v>904.1</v>
      </c>
      <c r="P756" s="9">
        <f>DecodeLabs[[#This Row],[Abandoned Cart]]*DecodeLabs[[#This Row],[UnitPrice]]</f>
        <v>452.05</v>
      </c>
    </row>
    <row r="757" spans="1:16" hidden="1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9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>
        <f t="shared" si="11"/>
        <v>1</v>
      </c>
      <c r="M757" t="s">
        <v>4283</v>
      </c>
      <c r="N757" t="s">
        <v>4280</v>
      </c>
      <c r="O757" s="11">
        <v>1010.13</v>
      </c>
      <c r="P757" s="9">
        <f>DecodeLabs[[#This Row],[Abandoned Cart]]*DecodeLabs[[#This Row],[UnitPrice]]</f>
        <v>336.71</v>
      </c>
    </row>
    <row r="758" spans="1:16" hidden="1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9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>
        <f t="shared" si="11"/>
        <v>5</v>
      </c>
      <c r="M758" t="s">
        <v>4283</v>
      </c>
      <c r="N758" t="s">
        <v>4282</v>
      </c>
      <c r="O758" s="11">
        <v>283.69</v>
      </c>
      <c r="P758" s="9">
        <f>DecodeLabs[[#This Row],[Abandoned Cart]]*DecodeLabs[[#This Row],[UnitPrice]]</f>
        <v>1418.45</v>
      </c>
    </row>
    <row r="759" spans="1:16" hidden="1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>
        <f t="shared" si="11"/>
        <v>1</v>
      </c>
      <c r="M759" t="s">
        <v>4276</v>
      </c>
      <c r="N759" t="s">
        <v>4282</v>
      </c>
      <c r="O759" s="11">
        <v>157.72</v>
      </c>
      <c r="P759" s="9">
        <f>DecodeLabs[[#This Row],[Abandoned Cart]]*DecodeLabs[[#This Row],[UnitPrice]]</f>
        <v>157.72</v>
      </c>
    </row>
    <row r="760" spans="1:16" hidden="1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9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>
        <f t="shared" si="11"/>
        <v>5</v>
      </c>
      <c r="M760" t="s">
        <v>4277</v>
      </c>
      <c r="N760" t="s">
        <v>4281</v>
      </c>
      <c r="O760" s="11">
        <v>1874.52</v>
      </c>
      <c r="P760" s="9">
        <f>DecodeLabs[[#This Row],[Abandoned Cart]]*DecodeLabs[[#This Row],[UnitPrice]]</f>
        <v>3124.2000000000003</v>
      </c>
    </row>
    <row r="761" spans="1:16" hidden="1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9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>
        <f t="shared" si="11"/>
        <v>0</v>
      </c>
      <c r="M761" t="s">
        <v>4276</v>
      </c>
      <c r="N761" t="s">
        <v>4281</v>
      </c>
      <c r="O761" s="11">
        <v>924.03</v>
      </c>
      <c r="P761" s="9">
        <f>DecodeLabs[[#This Row],[Abandoned Cart]]*DecodeLabs[[#This Row],[UnitPrice]]</f>
        <v>0</v>
      </c>
    </row>
    <row r="762" spans="1:16" hidden="1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9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>
        <f t="shared" si="11"/>
        <v>4</v>
      </c>
      <c r="M762" t="s">
        <v>4283</v>
      </c>
      <c r="N762" t="s">
        <v>4282</v>
      </c>
      <c r="O762" s="11">
        <v>39.56</v>
      </c>
      <c r="P762" s="9">
        <f>DecodeLabs[[#This Row],[Abandoned Cart]]*DecodeLabs[[#This Row],[UnitPrice]]</f>
        <v>158.24</v>
      </c>
    </row>
    <row r="763" spans="1:16" hidden="1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9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>
        <f t="shared" si="11"/>
        <v>3</v>
      </c>
      <c r="M763" t="s">
        <v>4283</v>
      </c>
      <c r="N763" t="s">
        <v>4282</v>
      </c>
      <c r="O763" s="11">
        <v>151.04</v>
      </c>
      <c r="P763" s="9">
        <f>DecodeLabs[[#This Row],[Abandoned Cart]]*DecodeLabs[[#This Row],[UnitPrice]]</f>
        <v>113.28</v>
      </c>
    </row>
    <row r="764" spans="1:16" hidden="1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9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>
        <f t="shared" si="11"/>
        <v>5</v>
      </c>
      <c r="M764" t="s">
        <v>4276</v>
      </c>
      <c r="N764" t="s">
        <v>4280</v>
      </c>
      <c r="O764" s="11">
        <v>230.88</v>
      </c>
      <c r="P764" s="9">
        <f>DecodeLabs[[#This Row],[Abandoned Cart]]*DecodeLabs[[#This Row],[UnitPrice]]</f>
        <v>384.79999999999995</v>
      </c>
    </row>
    <row r="765" spans="1:16" hidden="1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9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>
        <f t="shared" si="11"/>
        <v>3</v>
      </c>
      <c r="M765" t="s">
        <v>4276</v>
      </c>
      <c r="N765" t="s">
        <v>4280</v>
      </c>
      <c r="O765" s="11">
        <v>569.96</v>
      </c>
      <c r="P765" s="9">
        <f>DecodeLabs[[#This Row],[Abandoned Cart]]*DecodeLabs[[#This Row],[UnitPrice]]</f>
        <v>1709.88</v>
      </c>
    </row>
    <row r="766" spans="1:16" hidden="1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9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>
        <f t="shared" si="11"/>
        <v>5</v>
      </c>
      <c r="M766" t="s">
        <v>4276</v>
      </c>
      <c r="N766" t="s">
        <v>4280</v>
      </c>
      <c r="O766" s="11">
        <v>3137.15</v>
      </c>
      <c r="P766" s="9">
        <f>DecodeLabs[[#This Row],[Abandoned Cart]]*DecodeLabs[[#This Row],[UnitPrice]]</f>
        <v>3137.1499999999996</v>
      </c>
    </row>
    <row r="767" spans="1:16" hidden="1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9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>
        <f t="shared" si="11"/>
        <v>3</v>
      </c>
      <c r="M767" t="s">
        <v>4275</v>
      </c>
      <c r="N767" t="s">
        <v>4282</v>
      </c>
      <c r="O767" s="11">
        <v>1069.82</v>
      </c>
      <c r="P767" s="9">
        <f>DecodeLabs[[#This Row],[Abandoned Cart]]*DecodeLabs[[#This Row],[UnitPrice]]</f>
        <v>1604.73</v>
      </c>
    </row>
    <row r="768" spans="1:16" hidden="1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9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>
        <f t="shared" si="11"/>
        <v>1</v>
      </c>
      <c r="M768" t="s">
        <v>4276</v>
      </c>
      <c r="N768" t="s">
        <v>4279</v>
      </c>
      <c r="O768" s="11">
        <v>557.76</v>
      </c>
      <c r="P768" s="9">
        <f>DecodeLabs[[#This Row],[Abandoned Cart]]*DecodeLabs[[#This Row],[UnitPrice]]</f>
        <v>278.88</v>
      </c>
    </row>
    <row r="769" spans="1:16" hidden="1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>
        <f t="shared" si="11"/>
        <v>5</v>
      </c>
      <c r="M769" t="s">
        <v>4283</v>
      </c>
      <c r="N769" t="s">
        <v>4278</v>
      </c>
      <c r="O769" s="11">
        <v>646.44000000000005</v>
      </c>
      <c r="P769" s="9">
        <f>DecodeLabs[[#This Row],[Abandoned Cart]]*DecodeLabs[[#This Row],[UnitPrice]]</f>
        <v>1616.1000000000001</v>
      </c>
    </row>
    <row r="770" spans="1:16" hidden="1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9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>
        <f t="shared" ref="L770:L833" si="12">K770-E770</f>
        <v>4</v>
      </c>
      <c r="M770" t="s">
        <v>4277</v>
      </c>
      <c r="N770" t="s">
        <v>4280</v>
      </c>
      <c r="O770" s="11">
        <v>3267.3</v>
      </c>
      <c r="P770" s="9">
        <f>DecodeLabs[[#This Row],[Abandoned Cart]]*DecodeLabs[[#This Row],[UnitPrice]]</f>
        <v>2613.84</v>
      </c>
    </row>
    <row r="771" spans="1:16" hidden="1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9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>
        <f t="shared" si="12"/>
        <v>1</v>
      </c>
      <c r="M771" t="s">
        <v>4283</v>
      </c>
      <c r="N771" t="s">
        <v>4280</v>
      </c>
      <c r="O771" s="11">
        <v>2714.2</v>
      </c>
      <c r="P771" s="9">
        <f>DecodeLabs[[#This Row],[Abandoned Cart]]*DecodeLabs[[#This Row],[UnitPrice]]</f>
        <v>678.55</v>
      </c>
    </row>
    <row r="772" spans="1:16" hidden="1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9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>
        <f t="shared" si="12"/>
        <v>5</v>
      </c>
      <c r="M772" t="s">
        <v>4283</v>
      </c>
      <c r="N772" t="s">
        <v>4282</v>
      </c>
      <c r="O772" s="11">
        <v>314.38</v>
      </c>
      <c r="P772" s="9">
        <f>DecodeLabs[[#This Row],[Abandoned Cart]]*DecodeLabs[[#This Row],[UnitPrice]]</f>
        <v>1571.9</v>
      </c>
    </row>
    <row r="773" spans="1:16" hidden="1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9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>
        <f t="shared" si="12"/>
        <v>5</v>
      </c>
      <c r="M773" t="s">
        <v>4276</v>
      </c>
      <c r="N773" t="s">
        <v>4282</v>
      </c>
      <c r="O773" s="11">
        <v>2077.3200000000002</v>
      </c>
      <c r="P773" s="9">
        <f>DecodeLabs[[#This Row],[Abandoned Cart]]*DecodeLabs[[#This Row],[UnitPrice]]</f>
        <v>3462.2000000000003</v>
      </c>
    </row>
    <row r="774" spans="1:16" hidden="1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9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>
        <f t="shared" si="12"/>
        <v>3</v>
      </c>
      <c r="M774" t="s">
        <v>4283</v>
      </c>
      <c r="N774" t="s">
        <v>4278</v>
      </c>
      <c r="O774" s="11">
        <v>604.87</v>
      </c>
      <c r="P774" s="9">
        <f>DecodeLabs[[#This Row],[Abandoned Cart]]*DecodeLabs[[#This Row],[UnitPrice]]</f>
        <v>1814.6100000000001</v>
      </c>
    </row>
    <row r="775" spans="1:16" hidden="1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9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>
        <f t="shared" si="12"/>
        <v>5</v>
      </c>
      <c r="M775" t="s">
        <v>4283</v>
      </c>
      <c r="N775" t="s">
        <v>4281</v>
      </c>
      <c r="O775" s="11">
        <v>1024.6600000000001</v>
      </c>
      <c r="P775" s="9">
        <f>DecodeLabs[[#This Row],[Abandoned Cart]]*DecodeLabs[[#This Row],[UnitPrice]]</f>
        <v>2561.65</v>
      </c>
    </row>
    <row r="776" spans="1:16" hidden="1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9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>
        <f t="shared" si="12"/>
        <v>0</v>
      </c>
      <c r="M776" t="s">
        <v>4276</v>
      </c>
      <c r="N776" t="s">
        <v>4278</v>
      </c>
      <c r="O776" s="11">
        <v>61.62</v>
      </c>
      <c r="P776" s="9">
        <f>DecodeLabs[[#This Row],[Abandoned Cart]]*DecodeLabs[[#This Row],[UnitPrice]]</f>
        <v>0</v>
      </c>
    </row>
    <row r="777" spans="1:16" hidden="1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9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>
        <f t="shared" si="12"/>
        <v>3</v>
      </c>
      <c r="M777" t="s">
        <v>4283</v>
      </c>
      <c r="N777" t="s">
        <v>4282</v>
      </c>
      <c r="O777" s="11">
        <v>1250.44</v>
      </c>
      <c r="P777" s="9">
        <f>DecodeLabs[[#This Row],[Abandoned Cart]]*DecodeLabs[[#This Row],[UnitPrice]]</f>
        <v>1875.66</v>
      </c>
    </row>
    <row r="778" spans="1:16" hidden="1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9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>
        <f t="shared" si="12"/>
        <v>4</v>
      </c>
      <c r="M778" t="s">
        <v>4277</v>
      </c>
      <c r="N778" t="s">
        <v>4282</v>
      </c>
      <c r="O778" s="11">
        <v>21.19</v>
      </c>
      <c r="P778" s="9">
        <f>DecodeLabs[[#This Row],[Abandoned Cart]]*DecodeLabs[[#This Row],[UnitPrice]]</f>
        <v>84.76</v>
      </c>
    </row>
    <row r="779" spans="1:16" hidden="1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>
        <f t="shared" si="12"/>
        <v>2</v>
      </c>
      <c r="M779" t="s">
        <v>4283</v>
      </c>
      <c r="N779" t="s">
        <v>4281</v>
      </c>
      <c r="O779" s="11">
        <v>322.45</v>
      </c>
      <c r="P779" s="9">
        <f>DecodeLabs[[#This Row],[Abandoned Cart]]*DecodeLabs[[#This Row],[UnitPrice]]</f>
        <v>128.97999999999999</v>
      </c>
    </row>
    <row r="780" spans="1:16" hidden="1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9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>
        <f t="shared" si="12"/>
        <v>4</v>
      </c>
      <c r="M780" t="s">
        <v>4277</v>
      </c>
      <c r="N780" t="s">
        <v>4282</v>
      </c>
      <c r="O780" s="11">
        <v>987.4</v>
      </c>
      <c r="P780" s="9">
        <f>DecodeLabs[[#This Row],[Abandoned Cart]]*DecodeLabs[[#This Row],[UnitPrice]]</f>
        <v>987.4</v>
      </c>
    </row>
    <row r="781" spans="1:16" hidden="1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9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>
        <f t="shared" si="12"/>
        <v>5</v>
      </c>
      <c r="M781" t="s">
        <v>4276</v>
      </c>
      <c r="N781" t="s">
        <v>4280</v>
      </c>
      <c r="O781" s="11">
        <v>1766.22</v>
      </c>
      <c r="P781" s="9">
        <f>DecodeLabs[[#This Row],[Abandoned Cart]]*DecodeLabs[[#This Row],[UnitPrice]]</f>
        <v>2943.7</v>
      </c>
    </row>
    <row r="782" spans="1:16" hidden="1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9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>
        <f t="shared" si="12"/>
        <v>0</v>
      </c>
      <c r="M782" t="s">
        <v>4277</v>
      </c>
      <c r="N782" t="s">
        <v>4282</v>
      </c>
      <c r="O782" s="11">
        <v>737.92</v>
      </c>
      <c r="P782" s="9">
        <f>DecodeLabs[[#This Row],[Abandoned Cart]]*DecodeLabs[[#This Row],[UnitPrice]]</f>
        <v>0</v>
      </c>
    </row>
    <row r="783" spans="1:16" hidden="1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9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>
        <f t="shared" si="12"/>
        <v>0</v>
      </c>
      <c r="M783" t="s">
        <v>4276</v>
      </c>
      <c r="N783" t="s">
        <v>4279</v>
      </c>
      <c r="O783" s="11">
        <v>2621.3000000000002</v>
      </c>
      <c r="P783" s="9">
        <f>DecodeLabs[[#This Row],[Abandoned Cart]]*DecodeLabs[[#This Row],[UnitPrice]]</f>
        <v>0</v>
      </c>
    </row>
    <row r="784" spans="1:16" hidden="1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9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>
        <f t="shared" si="12"/>
        <v>4</v>
      </c>
      <c r="M784" t="s">
        <v>4275</v>
      </c>
      <c r="N784" t="s">
        <v>4279</v>
      </c>
      <c r="O784" s="11">
        <v>987.26</v>
      </c>
      <c r="P784" s="9">
        <f>DecodeLabs[[#This Row],[Abandoned Cart]]*DecodeLabs[[#This Row],[UnitPrice]]</f>
        <v>1974.52</v>
      </c>
    </row>
    <row r="785" spans="1:16" hidden="1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9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>
        <f t="shared" si="12"/>
        <v>4</v>
      </c>
      <c r="M785" t="s">
        <v>4276</v>
      </c>
      <c r="N785" t="s">
        <v>4281</v>
      </c>
      <c r="O785" s="11">
        <v>438.34</v>
      </c>
      <c r="P785" s="9">
        <f>DecodeLabs[[#This Row],[Abandoned Cart]]*DecodeLabs[[#This Row],[UnitPrice]]</f>
        <v>1753.36</v>
      </c>
    </row>
    <row r="786" spans="1:16" hidden="1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9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>
        <f t="shared" si="12"/>
        <v>0</v>
      </c>
      <c r="M786" t="s">
        <v>4277</v>
      </c>
      <c r="N786" t="s">
        <v>4279</v>
      </c>
      <c r="O786" s="11">
        <v>325.81</v>
      </c>
      <c r="P786" s="9">
        <f>DecodeLabs[[#This Row],[Abandoned Cart]]*DecodeLabs[[#This Row],[UnitPrice]]</f>
        <v>0</v>
      </c>
    </row>
    <row r="787" spans="1:16" hidden="1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9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>
        <f t="shared" si="12"/>
        <v>0</v>
      </c>
      <c r="M787" t="s">
        <v>4275</v>
      </c>
      <c r="N787" t="s">
        <v>4278</v>
      </c>
      <c r="O787" s="11">
        <v>176.1</v>
      </c>
      <c r="P787" s="9">
        <f>DecodeLabs[[#This Row],[Abandoned Cart]]*DecodeLabs[[#This Row],[UnitPrice]]</f>
        <v>0</v>
      </c>
    </row>
    <row r="788" spans="1:16" hidden="1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9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>
        <f t="shared" si="12"/>
        <v>3</v>
      </c>
      <c r="M788" t="s">
        <v>4283</v>
      </c>
      <c r="N788" t="s">
        <v>4279</v>
      </c>
      <c r="O788" s="11">
        <v>226.55</v>
      </c>
      <c r="P788" s="9">
        <f>DecodeLabs[[#This Row],[Abandoned Cart]]*DecodeLabs[[#This Row],[UnitPrice]]</f>
        <v>135.93</v>
      </c>
    </row>
    <row r="789" spans="1:16" hidden="1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>
        <f t="shared" si="12"/>
        <v>3</v>
      </c>
      <c r="M789" t="s">
        <v>4283</v>
      </c>
      <c r="N789" t="s">
        <v>4282</v>
      </c>
      <c r="O789" s="11">
        <v>887.84</v>
      </c>
      <c r="P789" s="9">
        <f>DecodeLabs[[#This Row],[Abandoned Cart]]*DecodeLabs[[#This Row],[UnitPrice]]</f>
        <v>665.88</v>
      </c>
    </row>
    <row r="790" spans="1:16" hidden="1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9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>
        <f t="shared" si="12"/>
        <v>3</v>
      </c>
      <c r="M790" t="s">
        <v>4276</v>
      </c>
      <c r="N790" t="s">
        <v>4278</v>
      </c>
      <c r="O790" s="11">
        <v>1202.8599999999999</v>
      </c>
      <c r="P790" s="9">
        <f>DecodeLabs[[#This Row],[Abandoned Cart]]*DecodeLabs[[#This Row],[UnitPrice]]</f>
        <v>1804.29</v>
      </c>
    </row>
    <row r="791" spans="1:16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9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>
        <f t="shared" si="12"/>
        <v>5</v>
      </c>
      <c r="M791" t="s">
        <v>4275</v>
      </c>
      <c r="N791" t="s">
        <v>4280</v>
      </c>
      <c r="O791" s="11">
        <v>3456.4</v>
      </c>
      <c r="P791" s="9">
        <f>DecodeLabs[[#This Row],[Abandoned Cart]]*DecodeLabs[[#This Row],[UnitPrice]]</f>
        <v>3456.3999999999996</v>
      </c>
    </row>
    <row r="792" spans="1:16" hidden="1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9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>
        <f t="shared" si="12"/>
        <v>0</v>
      </c>
      <c r="M792" t="s">
        <v>4283</v>
      </c>
      <c r="N792" t="s">
        <v>4282</v>
      </c>
      <c r="O792" s="11">
        <v>1671.56</v>
      </c>
      <c r="P792" s="9">
        <f>DecodeLabs[[#This Row],[Abandoned Cart]]*DecodeLabs[[#This Row],[UnitPrice]]</f>
        <v>0</v>
      </c>
    </row>
    <row r="793" spans="1:16" hidden="1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9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>
        <f t="shared" si="12"/>
        <v>4</v>
      </c>
      <c r="M793" t="s">
        <v>4283</v>
      </c>
      <c r="N793" t="s">
        <v>4280</v>
      </c>
      <c r="O793" s="11">
        <v>1637.12</v>
      </c>
      <c r="P793" s="9">
        <f>DecodeLabs[[#This Row],[Abandoned Cart]]*DecodeLabs[[#This Row],[UnitPrice]]</f>
        <v>1637.12</v>
      </c>
    </row>
    <row r="794" spans="1:16" hidden="1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9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>
        <f t="shared" si="12"/>
        <v>4</v>
      </c>
      <c r="M794" t="s">
        <v>4277</v>
      </c>
      <c r="N794" t="s">
        <v>4281</v>
      </c>
      <c r="O794" s="11">
        <v>712.7</v>
      </c>
      <c r="P794" s="9">
        <f>DecodeLabs[[#This Row],[Abandoned Cart]]*DecodeLabs[[#This Row],[UnitPrice]]</f>
        <v>1425.4</v>
      </c>
    </row>
    <row r="795" spans="1:16" hidden="1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9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>
        <f t="shared" si="12"/>
        <v>3</v>
      </c>
      <c r="M795" t="s">
        <v>4283</v>
      </c>
      <c r="N795" t="s">
        <v>4279</v>
      </c>
      <c r="O795" s="11">
        <v>851.1</v>
      </c>
      <c r="P795" s="9">
        <f>DecodeLabs[[#This Row],[Abandoned Cart]]*DecodeLabs[[#This Row],[UnitPrice]]</f>
        <v>510.65999999999997</v>
      </c>
    </row>
    <row r="796" spans="1:16" hidden="1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9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>
        <f t="shared" si="12"/>
        <v>5</v>
      </c>
      <c r="M796" t="s">
        <v>4276</v>
      </c>
      <c r="N796" t="s">
        <v>4278</v>
      </c>
      <c r="O796" s="11">
        <v>1539.4</v>
      </c>
      <c r="P796" s="9">
        <f>DecodeLabs[[#This Row],[Abandoned Cart]]*DecodeLabs[[#This Row],[UnitPrice]]</f>
        <v>1924.25</v>
      </c>
    </row>
    <row r="797" spans="1:16" hidden="1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9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>
        <f t="shared" si="12"/>
        <v>3</v>
      </c>
      <c r="M797" t="s">
        <v>4275</v>
      </c>
      <c r="N797" t="s">
        <v>4278</v>
      </c>
      <c r="O797" s="11">
        <v>463.08</v>
      </c>
      <c r="P797" s="9">
        <f>DecodeLabs[[#This Row],[Abandoned Cart]]*DecodeLabs[[#This Row],[UnitPrice]]</f>
        <v>347.31</v>
      </c>
    </row>
    <row r="798" spans="1:16" hidden="1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9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>
        <f t="shared" si="12"/>
        <v>5</v>
      </c>
      <c r="M798" t="s">
        <v>4277</v>
      </c>
      <c r="N798" t="s">
        <v>4281</v>
      </c>
      <c r="O798" s="11">
        <v>1738.65</v>
      </c>
      <c r="P798" s="9">
        <f>DecodeLabs[[#This Row],[Abandoned Cart]]*DecodeLabs[[#This Row],[UnitPrice]]</f>
        <v>2897.75</v>
      </c>
    </row>
    <row r="799" spans="1:16" hidden="1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>
        <f t="shared" si="12"/>
        <v>0</v>
      </c>
      <c r="M799" t="s">
        <v>4283</v>
      </c>
      <c r="N799" t="s">
        <v>4281</v>
      </c>
      <c r="O799" s="11">
        <v>877.52</v>
      </c>
      <c r="P799" s="9">
        <f>DecodeLabs[[#This Row],[Abandoned Cart]]*DecodeLabs[[#This Row],[UnitPrice]]</f>
        <v>0</v>
      </c>
    </row>
    <row r="800" spans="1:16" hidden="1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9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>
        <f t="shared" si="12"/>
        <v>4</v>
      </c>
      <c r="M800" t="s">
        <v>4276</v>
      </c>
      <c r="N800" t="s">
        <v>4280</v>
      </c>
      <c r="O800" s="11">
        <v>2441.75</v>
      </c>
      <c r="P800" s="9">
        <f>DecodeLabs[[#This Row],[Abandoned Cart]]*DecodeLabs[[#This Row],[UnitPrice]]</f>
        <v>1953.4</v>
      </c>
    </row>
    <row r="801" spans="1:16" hidden="1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9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>
        <f t="shared" si="12"/>
        <v>0</v>
      </c>
      <c r="M801" t="s">
        <v>4276</v>
      </c>
      <c r="N801" t="s">
        <v>4280</v>
      </c>
      <c r="O801" s="11">
        <v>1314.24</v>
      </c>
      <c r="P801" s="9">
        <f>DecodeLabs[[#This Row],[Abandoned Cart]]*DecodeLabs[[#This Row],[UnitPrice]]</f>
        <v>0</v>
      </c>
    </row>
    <row r="802" spans="1:16" hidden="1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9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>
        <f t="shared" si="12"/>
        <v>2</v>
      </c>
      <c r="M802" t="s">
        <v>4277</v>
      </c>
      <c r="N802" t="s">
        <v>4281</v>
      </c>
      <c r="O802" s="11">
        <v>68.39</v>
      </c>
      <c r="P802" s="9">
        <f>DecodeLabs[[#This Row],[Abandoned Cart]]*DecodeLabs[[#This Row],[UnitPrice]]</f>
        <v>136.78</v>
      </c>
    </row>
    <row r="803" spans="1:16" hidden="1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9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>
        <f t="shared" si="12"/>
        <v>4</v>
      </c>
      <c r="M803" t="s">
        <v>4276</v>
      </c>
      <c r="N803" t="s">
        <v>4281</v>
      </c>
      <c r="O803" s="11">
        <v>2382.48</v>
      </c>
      <c r="P803" s="9">
        <f>DecodeLabs[[#This Row],[Abandoned Cart]]*DecodeLabs[[#This Row],[UnitPrice]]</f>
        <v>2382.48</v>
      </c>
    </row>
    <row r="804" spans="1:16" hidden="1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9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>
        <f t="shared" si="12"/>
        <v>1</v>
      </c>
      <c r="M804" t="s">
        <v>4276</v>
      </c>
      <c r="N804" t="s">
        <v>4280</v>
      </c>
      <c r="O804" s="11">
        <v>3223.2</v>
      </c>
      <c r="P804" s="9">
        <f>DecodeLabs[[#This Row],[Abandoned Cart]]*DecodeLabs[[#This Row],[UnitPrice]]</f>
        <v>644.64</v>
      </c>
    </row>
    <row r="805" spans="1:16" hidden="1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9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>
        <f t="shared" si="12"/>
        <v>0</v>
      </c>
      <c r="M805" t="s">
        <v>4275</v>
      </c>
      <c r="N805" t="s">
        <v>4279</v>
      </c>
      <c r="O805" s="11">
        <v>1989.05</v>
      </c>
      <c r="P805" s="9">
        <f>DecodeLabs[[#This Row],[Abandoned Cart]]*DecodeLabs[[#This Row],[UnitPrice]]</f>
        <v>0</v>
      </c>
    </row>
    <row r="806" spans="1:16" hidden="1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9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>
        <f t="shared" si="12"/>
        <v>5</v>
      </c>
      <c r="M806" t="s">
        <v>4276</v>
      </c>
      <c r="N806" t="s">
        <v>4280</v>
      </c>
      <c r="O806" s="11">
        <v>709.5</v>
      </c>
      <c r="P806" s="9">
        <f>DecodeLabs[[#This Row],[Abandoned Cart]]*DecodeLabs[[#This Row],[UnitPrice]]</f>
        <v>1182.5</v>
      </c>
    </row>
    <row r="807" spans="1:16" hidden="1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9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>
        <f t="shared" si="12"/>
        <v>5</v>
      </c>
      <c r="M807" t="s">
        <v>4275</v>
      </c>
      <c r="N807" t="s">
        <v>4280</v>
      </c>
      <c r="O807" s="11">
        <v>2360.0500000000002</v>
      </c>
      <c r="P807" s="9">
        <f>DecodeLabs[[#This Row],[Abandoned Cart]]*DecodeLabs[[#This Row],[UnitPrice]]</f>
        <v>2360.0500000000002</v>
      </c>
    </row>
    <row r="808" spans="1:16" hidden="1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9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>
        <f t="shared" si="12"/>
        <v>4</v>
      </c>
      <c r="M808" t="s">
        <v>4277</v>
      </c>
      <c r="N808" t="s">
        <v>4278</v>
      </c>
      <c r="O808" s="11">
        <v>1268.75</v>
      </c>
      <c r="P808" s="9">
        <f>DecodeLabs[[#This Row],[Abandoned Cart]]*DecodeLabs[[#This Row],[UnitPrice]]</f>
        <v>1015</v>
      </c>
    </row>
    <row r="809" spans="1:16" hidden="1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>
        <f t="shared" si="12"/>
        <v>2</v>
      </c>
      <c r="M809" t="s">
        <v>4275</v>
      </c>
      <c r="N809" t="s">
        <v>4282</v>
      </c>
      <c r="O809" s="11">
        <v>2028.63</v>
      </c>
      <c r="P809" s="9">
        <f>DecodeLabs[[#This Row],[Abandoned Cart]]*DecodeLabs[[#This Row],[UnitPrice]]</f>
        <v>1352.42</v>
      </c>
    </row>
    <row r="810" spans="1:16" hidden="1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9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>
        <f t="shared" si="12"/>
        <v>0</v>
      </c>
      <c r="M810" t="s">
        <v>4283</v>
      </c>
      <c r="N810" t="s">
        <v>4282</v>
      </c>
      <c r="O810" s="11">
        <v>402.15</v>
      </c>
      <c r="P810" s="9">
        <f>DecodeLabs[[#This Row],[Abandoned Cart]]*DecodeLabs[[#This Row],[UnitPrice]]</f>
        <v>0</v>
      </c>
    </row>
    <row r="811" spans="1:16" hidden="1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9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>
        <f t="shared" si="12"/>
        <v>5</v>
      </c>
      <c r="M811" t="s">
        <v>4275</v>
      </c>
      <c r="N811" t="s">
        <v>4278</v>
      </c>
      <c r="O811" s="11">
        <v>1087.1500000000001</v>
      </c>
      <c r="P811" s="9">
        <f>DecodeLabs[[#This Row],[Abandoned Cart]]*DecodeLabs[[#This Row],[UnitPrice]]</f>
        <v>1087.1500000000001</v>
      </c>
    </row>
    <row r="812" spans="1:16" hidden="1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9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>
        <f t="shared" si="12"/>
        <v>4</v>
      </c>
      <c r="M812" t="s">
        <v>4283</v>
      </c>
      <c r="N812" t="s">
        <v>4279</v>
      </c>
      <c r="O812" s="11">
        <v>553.55999999999995</v>
      </c>
      <c r="P812" s="9">
        <f>DecodeLabs[[#This Row],[Abandoned Cart]]*DecodeLabs[[#This Row],[UnitPrice]]</f>
        <v>2214.2399999999998</v>
      </c>
    </row>
    <row r="813" spans="1:16" hidden="1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9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>
        <f t="shared" si="12"/>
        <v>5</v>
      </c>
      <c r="M813" t="s">
        <v>4275</v>
      </c>
      <c r="N813" t="s">
        <v>4280</v>
      </c>
      <c r="O813" s="11">
        <v>57.1</v>
      </c>
      <c r="P813" s="9">
        <f>DecodeLabs[[#This Row],[Abandoned Cart]]*DecodeLabs[[#This Row],[UnitPrice]]</f>
        <v>142.75</v>
      </c>
    </row>
    <row r="814" spans="1:16" hidden="1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9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>
        <f t="shared" si="12"/>
        <v>4</v>
      </c>
      <c r="M814" t="s">
        <v>4276</v>
      </c>
      <c r="N814" t="s">
        <v>4282</v>
      </c>
      <c r="O814" s="11">
        <v>510.52</v>
      </c>
      <c r="P814" s="9">
        <f>DecodeLabs[[#This Row],[Abandoned Cart]]*DecodeLabs[[#This Row],[UnitPrice]]</f>
        <v>1021.04</v>
      </c>
    </row>
    <row r="815" spans="1:16" hidden="1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9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>
        <f t="shared" si="12"/>
        <v>3</v>
      </c>
      <c r="M815" t="s">
        <v>4276</v>
      </c>
      <c r="N815" t="s">
        <v>4280</v>
      </c>
      <c r="O815" s="11">
        <v>1462.7</v>
      </c>
      <c r="P815" s="9">
        <f>DecodeLabs[[#This Row],[Abandoned Cart]]*DecodeLabs[[#This Row],[UnitPrice]]</f>
        <v>877.62000000000012</v>
      </c>
    </row>
    <row r="816" spans="1:16" hidden="1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9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>
        <f t="shared" si="12"/>
        <v>0</v>
      </c>
      <c r="M816" t="s">
        <v>4277</v>
      </c>
      <c r="N816" t="s">
        <v>4278</v>
      </c>
      <c r="O816" s="11">
        <v>590.04</v>
      </c>
      <c r="P816" s="9">
        <f>DecodeLabs[[#This Row],[Abandoned Cart]]*DecodeLabs[[#This Row],[UnitPrice]]</f>
        <v>0</v>
      </c>
    </row>
    <row r="817" spans="1:16" hidden="1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9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>
        <f t="shared" si="12"/>
        <v>5</v>
      </c>
      <c r="M817" t="s">
        <v>4277</v>
      </c>
      <c r="N817" t="s">
        <v>4278</v>
      </c>
      <c r="O817" s="11">
        <v>1709.52</v>
      </c>
      <c r="P817" s="9">
        <f>DecodeLabs[[#This Row],[Abandoned Cart]]*DecodeLabs[[#This Row],[UnitPrice]]</f>
        <v>2849.2000000000003</v>
      </c>
    </row>
    <row r="818" spans="1:16" hidden="1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9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>
        <f t="shared" si="12"/>
        <v>3</v>
      </c>
      <c r="M818" t="s">
        <v>4277</v>
      </c>
      <c r="N818" t="s">
        <v>4279</v>
      </c>
      <c r="O818" s="11">
        <v>2873.95</v>
      </c>
      <c r="P818" s="9">
        <f>DecodeLabs[[#This Row],[Abandoned Cart]]*DecodeLabs[[#This Row],[UnitPrice]]</f>
        <v>1724.37</v>
      </c>
    </row>
    <row r="819" spans="1:16" hidden="1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>
        <f t="shared" si="12"/>
        <v>3</v>
      </c>
      <c r="M819" t="s">
        <v>4277</v>
      </c>
      <c r="N819" t="s">
        <v>4280</v>
      </c>
      <c r="O819" s="11">
        <v>2392.7600000000002</v>
      </c>
      <c r="P819" s="9">
        <f>DecodeLabs[[#This Row],[Abandoned Cart]]*DecodeLabs[[#This Row],[UnitPrice]]</f>
        <v>1794.5700000000002</v>
      </c>
    </row>
    <row r="820" spans="1:16" hidden="1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9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>
        <f t="shared" si="12"/>
        <v>5</v>
      </c>
      <c r="M820" t="s">
        <v>4277</v>
      </c>
      <c r="N820" t="s">
        <v>4279</v>
      </c>
      <c r="O820" s="11">
        <v>1563.36</v>
      </c>
      <c r="P820" s="9">
        <f>DecodeLabs[[#This Row],[Abandoned Cart]]*DecodeLabs[[#This Row],[UnitPrice]]</f>
        <v>1954.1999999999998</v>
      </c>
    </row>
    <row r="821" spans="1:16" hidden="1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9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>
        <f t="shared" si="12"/>
        <v>5</v>
      </c>
      <c r="M821" t="s">
        <v>4275</v>
      </c>
      <c r="N821" t="s">
        <v>4282</v>
      </c>
      <c r="O821" s="11">
        <v>796.9</v>
      </c>
      <c r="P821" s="9">
        <f>DecodeLabs[[#This Row],[Abandoned Cart]]*DecodeLabs[[#This Row],[UnitPrice]]</f>
        <v>1992.25</v>
      </c>
    </row>
    <row r="822" spans="1:16" hidden="1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9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>
        <f t="shared" si="12"/>
        <v>1</v>
      </c>
      <c r="M822" t="s">
        <v>4276</v>
      </c>
      <c r="N822" t="s">
        <v>4280</v>
      </c>
      <c r="O822" s="11">
        <v>3119.05</v>
      </c>
      <c r="P822" s="9">
        <f>DecodeLabs[[#This Row],[Abandoned Cart]]*DecodeLabs[[#This Row],[UnitPrice]]</f>
        <v>623.80999999999995</v>
      </c>
    </row>
    <row r="823" spans="1:16" hidden="1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9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>
        <f t="shared" si="12"/>
        <v>1</v>
      </c>
      <c r="M823" t="s">
        <v>4275</v>
      </c>
      <c r="N823" t="s">
        <v>4281</v>
      </c>
      <c r="O823" s="11">
        <v>697.96</v>
      </c>
      <c r="P823" s="9">
        <f>DecodeLabs[[#This Row],[Abandoned Cart]]*DecodeLabs[[#This Row],[UnitPrice]]</f>
        <v>174.49</v>
      </c>
    </row>
    <row r="824" spans="1:16" hidden="1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9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>
        <f t="shared" si="12"/>
        <v>0</v>
      </c>
      <c r="M824" t="s">
        <v>4275</v>
      </c>
      <c r="N824" t="s">
        <v>4282</v>
      </c>
      <c r="O824" s="11">
        <v>479.56</v>
      </c>
      <c r="P824" s="9">
        <f>DecodeLabs[[#This Row],[Abandoned Cart]]*DecodeLabs[[#This Row],[UnitPrice]]</f>
        <v>0</v>
      </c>
    </row>
    <row r="825" spans="1:16" hidden="1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9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>
        <f t="shared" si="12"/>
        <v>4</v>
      </c>
      <c r="M825" t="s">
        <v>4277</v>
      </c>
      <c r="N825" t="s">
        <v>4278</v>
      </c>
      <c r="O825" s="11">
        <v>2612.52</v>
      </c>
      <c r="P825" s="9">
        <f>DecodeLabs[[#This Row],[Abandoned Cart]]*DecodeLabs[[#This Row],[UnitPrice]]</f>
        <v>2612.52</v>
      </c>
    </row>
    <row r="826" spans="1:16" hidden="1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9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>
        <f t="shared" si="12"/>
        <v>0</v>
      </c>
      <c r="M826" t="s">
        <v>4276</v>
      </c>
      <c r="N826" t="s">
        <v>4281</v>
      </c>
      <c r="O826" s="11">
        <v>1443.3</v>
      </c>
      <c r="P826" s="9">
        <f>DecodeLabs[[#This Row],[Abandoned Cart]]*DecodeLabs[[#This Row],[UnitPrice]]</f>
        <v>0</v>
      </c>
    </row>
    <row r="827" spans="1:16" hidden="1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9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>
        <f t="shared" si="12"/>
        <v>2</v>
      </c>
      <c r="M827" t="s">
        <v>4276</v>
      </c>
      <c r="N827" t="s">
        <v>4278</v>
      </c>
      <c r="O827" s="11">
        <v>1358.45</v>
      </c>
      <c r="P827" s="9">
        <f>DecodeLabs[[#This Row],[Abandoned Cart]]*DecodeLabs[[#This Row],[UnitPrice]]</f>
        <v>543.38</v>
      </c>
    </row>
    <row r="828" spans="1:16" hidden="1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9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>
        <f t="shared" si="12"/>
        <v>5</v>
      </c>
      <c r="M828" t="s">
        <v>4277</v>
      </c>
      <c r="N828" t="s">
        <v>4280</v>
      </c>
      <c r="O828" s="11">
        <v>1391.43</v>
      </c>
      <c r="P828" s="9">
        <f>DecodeLabs[[#This Row],[Abandoned Cart]]*DecodeLabs[[#This Row],[UnitPrice]]</f>
        <v>2319.0500000000002</v>
      </c>
    </row>
    <row r="829" spans="1:16" hidden="1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>
        <f t="shared" si="12"/>
        <v>3</v>
      </c>
      <c r="M829" t="s">
        <v>4277</v>
      </c>
      <c r="N829" t="s">
        <v>4278</v>
      </c>
      <c r="O829" s="11">
        <v>1279.76</v>
      </c>
      <c r="P829" s="9">
        <f>DecodeLabs[[#This Row],[Abandoned Cart]]*DecodeLabs[[#This Row],[UnitPrice]]</f>
        <v>1919.6399999999999</v>
      </c>
    </row>
    <row r="830" spans="1:16" hidden="1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9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>
        <f t="shared" si="12"/>
        <v>1</v>
      </c>
      <c r="M830" t="s">
        <v>4276</v>
      </c>
      <c r="N830" t="s">
        <v>4278</v>
      </c>
      <c r="O830" s="11">
        <v>1618.32</v>
      </c>
      <c r="P830" s="9">
        <f>DecodeLabs[[#This Row],[Abandoned Cart]]*DecodeLabs[[#This Row],[UnitPrice]]</f>
        <v>404.58</v>
      </c>
    </row>
    <row r="831" spans="1:16" hidden="1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9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>
        <f t="shared" si="12"/>
        <v>5</v>
      </c>
      <c r="M831" t="s">
        <v>4277</v>
      </c>
      <c r="N831" t="s">
        <v>4278</v>
      </c>
      <c r="O831" s="11">
        <v>76.930000000000007</v>
      </c>
      <c r="P831" s="9">
        <f>DecodeLabs[[#This Row],[Abandoned Cart]]*DecodeLabs[[#This Row],[UnitPrice]]</f>
        <v>384.65000000000003</v>
      </c>
    </row>
    <row r="832" spans="1:16" hidden="1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9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>
        <f t="shared" si="12"/>
        <v>1</v>
      </c>
      <c r="M832" t="s">
        <v>4275</v>
      </c>
      <c r="N832" t="s">
        <v>4280</v>
      </c>
      <c r="O832" s="11">
        <v>762.56</v>
      </c>
      <c r="P832" s="9">
        <f>DecodeLabs[[#This Row],[Abandoned Cart]]*DecodeLabs[[#This Row],[UnitPrice]]</f>
        <v>190.64</v>
      </c>
    </row>
    <row r="833" spans="1:16" hidden="1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9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>
        <f t="shared" si="12"/>
        <v>3</v>
      </c>
      <c r="M833" t="s">
        <v>4283</v>
      </c>
      <c r="N833" t="s">
        <v>4282</v>
      </c>
      <c r="O833" s="11">
        <v>177.46</v>
      </c>
      <c r="P833" s="9">
        <f>DecodeLabs[[#This Row],[Abandoned Cart]]*DecodeLabs[[#This Row],[UnitPrice]]</f>
        <v>266.19</v>
      </c>
    </row>
    <row r="834" spans="1:16" hidden="1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9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>
        <f t="shared" ref="L834:L897" si="13">K834-E834</f>
        <v>5</v>
      </c>
      <c r="M834" t="s">
        <v>4275</v>
      </c>
      <c r="N834" t="s">
        <v>4279</v>
      </c>
      <c r="O834" s="11">
        <v>2428.5500000000002</v>
      </c>
      <c r="P834" s="9">
        <f>DecodeLabs[[#This Row],[Abandoned Cart]]*DecodeLabs[[#This Row],[UnitPrice]]</f>
        <v>2428.5499999999997</v>
      </c>
    </row>
    <row r="835" spans="1:16" hidden="1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9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>
        <f t="shared" si="13"/>
        <v>0</v>
      </c>
      <c r="M835" t="s">
        <v>4277</v>
      </c>
      <c r="N835" t="s">
        <v>4279</v>
      </c>
      <c r="O835" s="11">
        <v>391.45</v>
      </c>
      <c r="P835" s="9">
        <f>DecodeLabs[[#This Row],[Abandoned Cart]]*DecodeLabs[[#This Row],[UnitPrice]]</f>
        <v>0</v>
      </c>
    </row>
    <row r="836" spans="1:16" hidden="1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9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>
        <f t="shared" si="13"/>
        <v>5</v>
      </c>
      <c r="M836" t="s">
        <v>4283</v>
      </c>
      <c r="N836" t="s">
        <v>4278</v>
      </c>
      <c r="O836" s="11">
        <v>110.7</v>
      </c>
      <c r="P836" s="9">
        <f>DecodeLabs[[#This Row],[Abandoned Cart]]*DecodeLabs[[#This Row],[UnitPrice]]</f>
        <v>110.7</v>
      </c>
    </row>
    <row r="837" spans="1:16" hidden="1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9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>
        <f t="shared" si="13"/>
        <v>5</v>
      </c>
      <c r="M837" t="s">
        <v>4276</v>
      </c>
      <c r="N837" t="s">
        <v>4282</v>
      </c>
      <c r="O837" s="11">
        <v>679.65</v>
      </c>
      <c r="P837" s="9">
        <f>DecodeLabs[[#This Row],[Abandoned Cart]]*DecodeLabs[[#This Row],[UnitPrice]]</f>
        <v>3398.25</v>
      </c>
    </row>
    <row r="838" spans="1:16" hidden="1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9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>
        <f t="shared" si="13"/>
        <v>1</v>
      </c>
      <c r="M838" t="s">
        <v>4276</v>
      </c>
      <c r="N838" t="s">
        <v>4282</v>
      </c>
      <c r="O838" s="11">
        <v>178.44</v>
      </c>
      <c r="P838" s="9">
        <f>DecodeLabs[[#This Row],[Abandoned Cart]]*DecodeLabs[[#This Row],[UnitPrice]]</f>
        <v>178.44</v>
      </c>
    </row>
    <row r="839" spans="1:16" hidden="1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>
        <f t="shared" si="13"/>
        <v>0</v>
      </c>
      <c r="M839" t="s">
        <v>4283</v>
      </c>
      <c r="N839" t="s">
        <v>4280</v>
      </c>
      <c r="O839" s="11">
        <v>3277.75</v>
      </c>
      <c r="P839" s="9">
        <f>DecodeLabs[[#This Row],[Abandoned Cart]]*DecodeLabs[[#This Row],[UnitPrice]]</f>
        <v>0</v>
      </c>
    </row>
    <row r="840" spans="1:16" hidden="1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9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>
        <f t="shared" si="13"/>
        <v>4</v>
      </c>
      <c r="M840" t="s">
        <v>4283</v>
      </c>
      <c r="N840" t="s">
        <v>4281</v>
      </c>
      <c r="O840" s="11">
        <v>2308.3200000000002</v>
      </c>
      <c r="P840" s="9">
        <f>DecodeLabs[[#This Row],[Abandoned Cart]]*DecodeLabs[[#This Row],[UnitPrice]]</f>
        <v>2308.3200000000002</v>
      </c>
    </row>
    <row r="841" spans="1:16" hidden="1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9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>
        <f t="shared" si="13"/>
        <v>2</v>
      </c>
      <c r="M841" t="s">
        <v>4283</v>
      </c>
      <c r="N841" t="s">
        <v>4282</v>
      </c>
      <c r="O841" s="11">
        <v>593.91</v>
      </c>
      <c r="P841" s="9">
        <f>DecodeLabs[[#This Row],[Abandoned Cart]]*DecodeLabs[[#This Row],[UnitPrice]]</f>
        <v>395.94</v>
      </c>
    </row>
    <row r="842" spans="1:16" hidden="1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9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>
        <f t="shared" si="13"/>
        <v>4</v>
      </c>
      <c r="M842" t="s">
        <v>4276</v>
      </c>
      <c r="N842" t="s">
        <v>4279</v>
      </c>
      <c r="O842" s="11">
        <v>1235.8499999999999</v>
      </c>
      <c r="P842" s="9">
        <f>DecodeLabs[[#This Row],[Abandoned Cart]]*DecodeLabs[[#This Row],[UnitPrice]]</f>
        <v>1647.8</v>
      </c>
    </row>
    <row r="843" spans="1:16" hidden="1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9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>
        <f t="shared" si="13"/>
        <v>3</v>
      </c>
      <c r="M843" t="s">
        <v>4283</v>
      </c>
      <c r="N843" t="s">
        <v>4281</v>
      </c>
      <c r="O843" s="11">
        <v>886.44</v>
      </c>
      <c r="P843" s="9">
        <f>DecodeLabs[[#This Row],[Abandoned Cart]]*DecodeLabs[[#This Row],[UnitPrice]]</f>
        <v>1329.66</v>
      </c>
    </row>
    <row r="844" spans="1:16" hidden="1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9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>
        <f t="shared" si="13"/>
        <v>4</v>
      </c>
      <c r="M844" t="s">
        <v>4277</v>
      </c>
      <c r="N844" t="s">
        <v>4279</v>
      </c>
      <c r="O844" s="11">
        <v>1092.42</v>
      </c>
      <c r="P844" s="9">
        <f>DecodeLabs[[#This Row],[Abandoned Cart]]*DecodeLabs[[#This Row],[UnitPrice]]</f>
        <v>1456.56</v>
      </c>
    </row>
    <row r="845" spans="1:16" hidden="1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9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>
        <f t="shared" si="13"/>
        <v>5</v>
      </c>
      <c r="M845" t="s">
        <v>4276</v>
      </c>
      <c r="N845" t="s">
        <v>4278</v>
      </c>
      <c r="O845" s="11">
        <v>1290.18</v>
      </c>
      <c r="P845" s="9">
        <f>DecodeLabs[[#This Row],[Abandoned Cart]]*DecodeLabs[[#This Row],[UnitPrice]]</f>
        <v>2150.3000000000002</v>
      </c>
    </row>
    <row r="846" spans="1:16" hidden="1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9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>
        <f t="shared" si="13"/>
        <v>4</v>
      </c>
      <c r="M846" t="s">
        <v>4276</v>
      </c>
      <c r="N846" t="s">
        <v>4281</v>
      </c>
      <c r="O846" s="11">
        <v>320.92</v>
      </c>
      <c r="P846" s="9">
        <f>DecodeLabs[[#This Row],[Abandoned Cart]]*DecodeLabs[[#This Row],[UnitPrice]]</f>
        <v>1283.68</v>
      </c>
    </row>
    <row r="847" spans="1:16" hidden="1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9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>
        <f t="shared" si="13"/>
        <v>2</v>
      </c>
      <c r="M847" t="s">
        <v>4276</v>
      </c>
      <c r="N847" t="s">
        <v>4282</v>
      </c>
      <c r="O847" s="11">
        <v>322.08</v>
      </c>
      <c r="P847" s="9">
        <f>DecodeLabs[[#This Row],[Abandoned Cart]]*DecodeLabs[[#This Row],[UnitPrice]]</f>
        <v>214.72</v>
      </c>
    </row>
    <row r="848" spans="1:16" hidden="1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9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>
        <f t="shared" si="13"/>
        <v>2</v>
      </c>
      <c r="M848" t="s">
        <v>4283</v>
      </c>
      <c r="N848" t="s">
        <v>4279</v>
      </c>
      <c r="O848" s="11">
        <v>719.72</v>
      </c>
      <c r="P848" s="9">
        <f>DecodeLabs[[#This Row],[Abandoned Cart]]*DecodeLabs[[#This Row],[UnitPrice]]</f>
        <v>719.72</v>
      </c>
    </row>
    <row r="849" spans="1:16" hidden="1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>
        <f t="shared" si="13"/>
        <v>4</v>
      </c>
      <c r="M849" t="s">
        <v>4276</v>
      </c>
      <c r="N849" t="s">
        <v>4280</v>
      </c>
      <c r="O849" s="11">
        <v>1736.92</v>
      </c>
      <c r="P849" s="9">
        <f>DecodeLabs[[#This Row],[Abandoned Cart]]*DecodeLabs[[#This Row],[UnitPrice]]</f>
        <v>1736.92</v>
      </c>
    </row>
    <row r="850" spans="1:16" hidden="1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9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>
        <f t="shared" si="13"/>
        <v>3</v>
      </c>
      <c r="M850" t="s">
        <v>4283</v>
      </c>
      <c r="N850" t="s">
        <v>4279</v>
      </c>
      <c r="O850" s="11">
        <v>1291.7</v>
      </c>
      <c r="P850" s="9">
        <f>DecodeLabs[[#This Row],[Abandoned Cart]]*DecodeLabs[[#This Row],[UnitPrice]]</f>
        <v>1937.5500000000002</v>
      </c>
    </row>
    <row r="851" spans="1:16" hidden="1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9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>
        <f t="shared" si="13"/>
        <v>3</v>
      </c>
      <c r="M851" t="s">
        <v>4277</v>
      </c>
      <c r="N851" t="s">
        <v>4279</v>
      </c>
      <c r="O851" s="11">
        <v>857.4</v>
      </c>
      <c r="P851" s="9">
        <f>DecodeLabs[[#This Row],[Abandoned Cart]]*DecodeLabs[[#This Row],[UnitPrice]]</f>
        <v>643.04999999999995</v>
      </c>
    </row>
    <row r="852" spans="1:16" hidden="1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9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>
        <f t="shared" si="13"/>
        <v>1</v>
      </c>
      <c r="M852" t="s">
        <v>4276</v>
      </c>
      <c r="N852" t="s">
        <v>4278</v>
      </c>
      <c r="O852" s="11">
        <v>1915.5</v>
      </c>
      <c r="P852" s="9">
        <f>DecodeLabs[[#This Row],[Abandoned Cart]]*DecodeLabs[[#This Row],[UnitPrice]]</f>
        <v>638.5</v>
      </c>
    </row>
    <row r="853" spans="1:16" hidden="1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9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>
        <f t="shared" si="13"/>
        <v>4</v>
      </c>
      <c r="M853" t="s">
        <v>4275</v>
      </c>
      <c r="N853" t="s">
        <v>4280</v>
      </c>
      <c r="O853" s="11">
        <v>365.57</v>
      </c>
      <c r="P853" s="9">
        <f>DecodeLabs[[#This Row],[Abandoned Cart]]*DecodeLabs[[#This Row],[UnitPrice]]</f>
        <v>1462.28</v>
      </c>
    </row>
    <row r="854" spans="1:16" hidden="1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9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>
        <f t="shared" si="13"/>
        <v>3</v>
      </c>
      <c r="M854" t="s">
        <v>4275</v>
      </c>
      <c r="N854" t="s">
        <v>4282</v>
      </c>
      <c r="O854" s="11">
        <v>1704.15</v>
      </c>
      <c r="P854" s="9">
        <f>DecodeLabs[[#This Row],[Abandoned Cart]]*DecodeLabs[[#This Row],[UnitPrice]]</f>
        <v>1704.1499999999999</v>
      </c>
    </row>
    <row r="855" spans="1:16" hidden="1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9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>
        <f t="shared" si="13"/>
        <v>1</v>
      </c>
      <c r="M855" t="s">
        <v>4275</v>
      </c>
      <c r="N855" t="s">
        <v>4281</v>
      </c>
      <c r="O855" s="11">
        <v>1470.03</v>
      </c>
      <c r="P855" s="9">
        <f>DecodeLabs[[#This Row],[Abandoned Cart]]*DecodeLabs[[#This Row],[UnitPrice]]</f>
        <v>490.01</v>
      </c>
    </row>
    <row r="856" spans="1:16" hidden="1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9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>
        <f t="shared" si="13"/>
        <v>4</v>
      </c>
      <c r="M856" t="s">
        <v>4277</v>
      </c>
      <c r="N856" t="s">
        <v>4279</v>
      </c>
      <c r="O856" s="11">
        <v>1117.8</v>
      </c>
      <c r="P856" s="9">
        <f>DecodeLabs[[#This Row],[Abandoned Cart]]*DecodeLabs[[#This Row],[UnitPrice]]</f>
        <v>1490.4</v>
      </c>
    </row>
    <row r="857" spans="1:16" hidden="1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9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>
        <f t="shared" si="13"/>
        <v>5</v>
      </c>
      <c r="M857" t="s">
        <v>4276</v>
      </c>
      <c r="N857" t="s">
        <v>4280</v>
      </c>
      <c r="O857" s="11">
        <v>1203.05</v>
      </c>
      <c r="P857" s="9">
        <f>DecodeLabs[[#This Row],[Abandoned Cart]]*DecodeLabs[[#This Row],[UnitPrice]]</f>
        <v>1203.0500000000002</v>
      </c>
    </row>
    <row r="858" spans="1:16" hidden="1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9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>
        <f t="shared" si="13"/>
        <v>4</v>
      </c>
      <c r="M858" t="s">
        <v>4283</v>
      </c>
      <c r="N858" t="s">
        <v>4281</v>
      </c>
      <c r="O858" s="11">
        <v>586.62</v>
      </c>
      <c r="P858" s="9">
        <f>DecodeLabs[[#This Row],[Abandoned Cart]]*DecodeLabs[[#This Row],[UnitPrice]]</f>
        <v>2346.48</v>
      </c>
    </row>
    <row r="859" spans="1:16" hidden="1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>
        <f t="shared" si="13"/>
        <v>1</v>
      </c>
      <c r="M859" t="s">
        <v>4283</v>
      </c>
      <c r="N859" t="s">
        <v>4278</v>
      </c>
      <c r="O859" s="11">
        <v>773.52</v>
      </c>
      <c r="P859" s="9">
        <f>DecodeLabs[[#This Row],[Abandoned Cart]]*DecodeLabs[[#This Row],[UnitPrice]]</f>
        <v>257.83999999999997</v>
      </c>
    </row>
    <row r="860" spans="1:16" hidden="1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9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>
        <f t="shared" si="13"/>
        <v>4</v>
      </c>
      <c r="M860" t="s">
        <v>4283</v>
      </c>
      <c r="N860" t="s">
        <v>4281</v>
      </c>
      <c r="O860" s="11">
        <v>2178.3000000000002</v>
      </c>
      <c r="P860" s="9">
        <f>DecodeLabs[[#This Row],[Abandoned Cart]]*DecodeLabs[[#This Row],[UnitPrice]]</f>
        <v>1742.64</v>
      </c>
    </row>
    <row r="861" spans="1:16" hidden="1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9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>
        <f t="shared" si="13"/>
        <v>0</v>
      </c>
      <c r="M861" t="s">
        <v>4275</v>
      </c>
      <c r="N861" t="s">
        <v>4279</v>
      </c>
      <c r="O861" s="11">
        <v>1306.6500000000001</v>
      </c>
      <c r="P861" s="9">
        <f>DecodeLabs[[#This Row],[Abandoned Cart]]*DecodeLabs[[#This Row],[UnitPrice]]</f>
        <v>0</v>
      </c>
    </row>
    <row r="862" spans="1:16" hidden="1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9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>
        <f t="shared" si="13"/>
        <v>0</v>
      </c>
      <c r="M862" t="s">
        <v>4275</v>
      </c>
      <c r="N862" t="s">
        <v>4282</v>
      </c>
      <c r="O862" s="11">
        <v>422.54</v>
      </c>
      <c r="P862" s="9">
        <f>DecodeLabs[[#This Row],[Abandoned Cart]]*DecodeLabs[[#This Row],[UnitPrice]]</f>
        <v>0</v>
      </c>
    </row>
    <row r="863" spans="1:16" hidden="1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9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>
        <f t="shared" si="13"/>
        <v>5</v>
      </c>
      <c r="M863" t="s">
        <v>4276</v>
      </c>
      <c r="N863" t="s">
        <v>4282</v>
      </c>
      <c r="O863" s="11">
        <v>1652.25</v>
      </c>
      <c r="P863" s="9">
        <f>DecodeLabs[[#This Row],[Abandoned Cart]]*DecodeLabs[[#This Row],[UnitPrice]]</f>
        <v>1652.25</v>
      </c>
    </row>
    <row r="864" spans="1:16" hidden="1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9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>
        <f t="shared" si="13"/>
        <v>2</v>
      </c>
      <c r="M864" t="s">
        <v>4275</v>
      </c>
      <c r="N864" t="s">
        <v>4279</v>
      </c>
      <c r="O864" s="11">
        <v>362.46</v>
      </c>
      <c r="P864" s="9">
        <f>DecodeLabs[[#This Row],[Abandoned Cart]]*DecodeLabs[[#This Row],[UnitPrice]]</f>
        <v>241.64</v>
      </c>
    </row>
    <row r="865" spans="1:16" hidden="1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9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>
        <f t="shared" si="13"/>
        <v>4</v>
      </c>
      <c r="M865" t="s">
        <v>4275</v>
      </c>
      <c r="N865" t="s">
        <v>4279</v>
      </c>
      <c r="O865" s="11">
        <v>14.06</v>
      </c>
      <c r="P865" s="9">
        <f>DecodeLabs[[#This Row],[Abandoned Cart]]*DecodeLabs[[#This Row],[UnitPrice]]</f>
        <v>56.24</v>
      </c>
    </row>
    <row r="866" spans="1:16" hidden="1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9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>
        <f t="shared" si="13"/>
        <v>3</v>
      </c>
      <c r="M866" t="s">
        <v>4275</v>
      </c>
      <c r="N866" t="s">
        <v>4281</v>
      </c>
      <c r="O866" s="11">
        <v>491.11</v>
      </c>
      <c r="P866" s="9">
        <f>DecodeLabs[[#This Row],[Abandoned Cart]]*DecodeLabs[[#This Row],[UnitPrice]]</f>
        <v>1473.33</v>
      </c>
    </row>
    <row r="867" spans="1:16" hidden="1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9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>
        <f t="shared" si="13"/>
        <v>4</v>
      </c>
      <c r="M867" t="s">
        <v>4275</v>
      </c>
      <c r="N867" t="s">
        <v>4282</v>
      </c>
      <c r="O867" s="11">
        <v>2709.48</v>
      </c>
      <c r="P867" s="9">
        <f>DecodeLabs[[#This Row],[Abandoned Cart]]*DecodeLabs[[#This Row],[UnitPrice]]</f>
        <v>2709.48</v>
      </c>
    </row>
    <row r="868" spans="1:16" hidden="1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9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>
        <f t="shared" si="13"/>
        <v>5</v>
      </c>
      <c r="M868" t="s">
        <v>4277</v>
      </c>
      <c r="N868" t="s">
        <v>4280</v>
      </c>
      <c r="O868" s="11">
        <v>946.25</v>
      </c>
      <c r="P868" s="9">
        <f>DecodeLabs[[#This Row],[Abandoned Cart]]*DecodeLabs[[#This Row],[UnitPrice]]</f>
        <v>946.25</v>
      </c>
    </row>
    <row r="869" spans="1:16" hidden="1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>
        <f t="shared" si="13"/>
        <v>0</v>
      </c>
      <c r="M869" t="s">
        <v>4276</v>
      </c>
      <c r="N869" t="s">
        <v>4281</v>
      </c>
      <c r="O869" s="11">
        <v>570.32000000000005</v>
      </c>
      <c r="P869" s="9">
        <f>DecodeLabs[[#This Row],[Abandoned Cart]]*DecodeLabs[[#This Row],[UnitPrice]]</f>
        <v>0</v>
      </c>
    </row>
    <row r="870" spans="1:16" hidden="1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9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>
        <f t="shared" si="13"/>
        <v>3</v>
      </c>
      <c r="M870" t="s">
        <v>4283</v>
      </c>
      <c r="N870" t="s">
        <v>4281</v>
      </c>
      <c r="O870" s="11">
        <v>1265.28</v>
      </c>
      <c r="P870" s="9">
        <f>DecodeLabs[[#This Row],[Abandoned Cart]]*DecodeLabs[[#This Row],[UnitPrice]]</f>
        <v>948.96</v>
      </c>
    </row>
    <row r="871" spans="1:16" hidden="1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9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>
        <f t="shared" si="13"/>
        <v>3</v>
      </c>
      <c r="M871" t="s">
        <v>4277</v>
      </c>
      <c r="N871" t="s">
        <v>4282</v>
      </c>
      <c r="O871" s="11">
        <v>1067.9000000000001</v>
      </c>
      <c r="P871" s="9">
        <f>DecodeLabs[[#This Row],[Abandoned Cart]]*DecodeLabs[[#This Row],[UnitPrice]]</f>
        <v>1601.8500000000001</v>
      </c>
    </row>
    <row r="872" spans="1:16" hidden="1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9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>
        <f t="shared" si="13"/>
        <v>0</v>
      </c>
      <c r="M872" t="s">
        <v>4276</v>
      </c>
      <c r="N872" t="s">
        <v>4282</v>
      </c>
      <c r="O872" s="11">
        <v>1880.36</v>
      </c>
      <c r="P872" s="9">
        <f>DecodeLabs[[#This Row],[Abandoned Cart]]*DecodeLabs[[#This Row],[UnitPrice]]</f>
        <v>0</v>
      </c>
    </row>
    <row r="873" spans="1:16" hidden="1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9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>
        <f t="shared" si="13"/>
        <v>5</v>
      </c>
      <c r="M873" t="s">
        <v>4276</v>
      </c>
      <c r="N873" t="s">
        <v>4280</v>
      </c>
      <c r="O873" s="11">
        <v>972.90000000000009</v>
      </c>
      <c r="P873" s="9">
        <f>DecodeLabs[[#This Row],[Abandoned Cart]]*DecodeLabs[[#This Row],[UnitPrice]]</f>
        <v>1621.5</v>
      </c>
    </row>
    <row r="874" spans="1:16" hidden="1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9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>
        <f t="shared" si="13"/>
        <v>3</v>
      </c>
      <c r="M874" t="s">
        <v>4283</v>
      </c>
      <c r="N874" t="s">
        <v>4280</v>
      </c>
      <c r="O874" s="11">
        <v>2517.36</v>
      </c>
      <c r="P874" s="9">
        <f>DecodeLabs[[#This Row],[Abandoned Cart]]*DecodeLabs[[#This Row],[UnitPrice]]</f>
        <v>1888.02</v>
      </c>
    </row>
    <row r="875" spans="1:16" hidden="1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9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>
        <f t="shared" si="13"/>
        <v>0</v>
      </c>
      <c r="M875" t="s">
        <v>4275</v>
      </c>
      <c r="N875" t="s">
        <v>4281</v>
      </c>
      <c r="O875" s="11">
        <v>410.52</v>
      </c>
      <c r="P875" s="9">
        <f>DecodeLabs[[#This Row],[Abandoned Cart]]*DecodeLabs[[#This Row],[UnitPrice]]</f>
        <v>0</v>
      </c>
    </row>
    <row r="876" spans="1:16" hidden="1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9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>
        <f t="shared" si="13"/>
        <v>5</v>
      </c>
      <c r="M876" t="s">
        <v>4276</v>
      </c>
      <c r="N876" t="s">
        <v>4281</v>
      </c>
      <c r="O876" s="11">
        <v>977.8</v>
      </c>
      <c r="P876" s="9">
        <f>DecodeLabs[[#This Row],[Abandoned Cart]]*DecodeLabs[[#This Row],[UnitPrice]]</f>
        <v>2444.5</v>
      </c>
    </row>
    <row r="877" spans="1:16" hidden="1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9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>
        <f t="shared" si="13"/>
        <v>1</v>
      </c>
      <c r="M877" t="s">
        <v>4276</v>
      </c>
      <c r="N877" t="s">
        <v>4279</v>
      </c>
      <c r="O877" s="11">
        <v>666.94999999999993</v>
      </c>
      <c r="P877" s="9">
        <f>DecodeLabs[[#This Row],[Abandoned Cart]]*DecodeLabs[[#This Row],[UnitPrice]]</f>
        <v>133.38999999999999</v>
      </c>
    </row>
    <row r="878" spans="1:16" hidden="1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9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>
        <f t="shared" si="13"/>
        <v>1</v>
      </c>
      <c r="M878" t="s">
        <v>4275</v>
      </c>
      <c r="N878" t="s">
        <v>4282</v>
      </c>
      <c r="O878" s="11">
        <v>3044.55</v>
      </c>
      <c r="P878" s="9">
        <f>DecodeLabs[[#This Row],[Abandoned Cart]]*DecodeLabs[[#This Row],[UnitPrice]]</f>
        <v>608.91</v>
      </c>
    </row>
    <row r="879" spans="1:16" hidden="1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>
        <f t="shared" si="13"/>
        <v>2</v>
      </c>
      <c r="M879" t="s">
        <v>4276</v>
      </c>
      <c r="N879" t="s">
        <v>4280</v>
      </c>
      <c r="O879" s="11">
        <v>524.05999999999995</v>
      </c>
      <c r="P879" s="9">
        <f>DecodeLabs[[#This Row],[Abandoned Cart]]*DecodeLabs[[#This Row],[UnitPrice]]</f>
        <v>1048.1199999999999</v>
      </c>
    </row>
    <row r="880" spans="1:16" hidden="1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9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>
        <f t="shared" si="13"/>
        <v>3</v>
      </c>
      <c r="M880" t="s">
        <v>4275</v>
      </c>
      <c r="N880" t="s">
        <v>4282</v>
      </c>
      <c r="O880" s="11">
        <v>661.38</v>
      </c>
      <c r="P880" s="9">
        <f>DecodeLabs[[#This Row],[Abandoned Cart]]*DecodeLabs[[#This Row],[UnitPrice]]</f>
        <v>992.06999999999994</v>
      </c>
    </row>
    <row r="881" spans="1:16" hidden="1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9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>
        <f t="shared" si="13"/>
        <v>1</v>
      </c>
      <c r="M881" t="s">
        <v>4283</v>
      </c>
      <c r="N881" t="s">
        <v>4278</v>
      </c>
      <c r="O881" s="11">
        <v>1095.3399999999999</v>
      </c>
      <c r="P881" s="9">
        <f>DecodeLabs[[#This Row],[Abandoned Cart]]*DecodeLabs[[#This Row],[UnitPrice]]</f>
        <v>547.66999999999996</v>
      </c>
    </row>
    <row r="882" spans="1:16" hidden="1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9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>
        <f t="shared" si="13"/>
        <v>4</v>
      </c>
      <c r="M882" t="s">
        <v>4275</v>
      </c>
      <c r="N882" t="s">
        <v>4281</v>
      </c>
      <c r="O882" s="11">
        <v>934.8</v>
      </c>
      <c r="P882" s="9">
        <f>DecodeLabs[[#This Row],[Abandoned Cart]]*DecodeLabs[[#This Row],[UnitPrice]]</f>
        <v>934.8</v>
      </c>
    </row>
    <row r="883" spans="1:16" hidden="1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9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>
        <f t="shared" si="13"/>
        <v>4</v>
      </c>
      <c r="M883" t="s">
        <v>4283</v>
      </c>
      <c r="N883" t="s">
        <v>4278</v>
      </c>
      <c r="O883" s="11">
        <v>897.7</v>
      </c>
      <c r="P883" s="9">
        <f>DecodeLabs[[#This Row],[Abandoned Cart]]*DecodeLabs[[#This Row],[UnitPrice]]</f>
        <v>1795.4</v>
      </c>
    </row>
    <row r="884" spans="1:16" hidden="1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9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>
        <f t="shared" si="13"/>
        <v>4</v>
      </c>
      <c r="M884" t="s">
        <v>4276</v>
      </c>
      <c r="N884" t="s">
        <v>4279</v>
      </c>
      <c r="O884" s="11">
        <v>548.24</v>
      </c>
      <c r="P884" s="9">
        <f>DecodeLabs[[#This Row],[Abandoned Cart]]*DecodeLabs[[#This Row],[UnitPrice]]</f>
        <v>1096.48</v>
      </c>
    </row>
    <row r="885" spans="1:16" hidden="1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9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>
        <f t="shared" si="13"/>
        <v>4</v>
      </c>
      <c r="M885" t="s">
        <v>4276</v>
      </c>
      <c r="N885" t="s">
        <v>4281</v>
      </c>
      <c r="O885" s="11">
        <v>2807.4</v>
      </c>
      <c r="P885" s="9">
        <f>DecodeLabs[[#This Row],[Abandoned Cart]]*DecodeLabs[[#This Row],[UnitPrice]]</f>
        <v>2245.92</v>
      </c>
    </row>
    <row r="886" spans="1:16" hidden="1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9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>
        <f t="shared" si="13"/>
        <v>3</v>
      </c>
      <c r="M886" t="s">
        <v>4283</v>
      </c>
      <c r="N886" t="s">
        <v>4278</v>
      </c>
      <c r="O886" s="11">
        <v>595.54</v>
      </c>
      <c r="P886" s="9">
        <f>DecodeLabs[[#This Row],[Abandoned Cart]]*DecodeLabs[[#This Row],[UnitPrice]]</f>
        <v>1786.62</v>
      </c>
    </row>
    <row r="887" spans="1:16" hidden="1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9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>
        <f t="shared" si="13"/>
        <v>3</v>
      </c>
      <c r="M887" t="s">
        <v>4276</v>
      </c>
      <c r="N887" t="s">
        <v>4282</v>
      </c>
      <c r="O887" s="11">
        <v>2062.36</v>
      </c>
      <c r="P887" s="9">
        <f>DecodeLabs[[#This Row],[Abandoned Cart]]*DecodeLabs[[#This Row],[UnitPrice]]</f>
        <v>1546.77</v>
      </c>
    </row>
    <row r="888" spans="1:16" hidden="1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9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>
        <f t="shared" si="13"/>
        <v>0</v>
      </c>
      <c r="M888" t="s">
        <v>4283</v>
      </c>
      <c r="N888" t="s">
        <v>4282</v>
      </c>
      <c r="O888" s="11">
        <v>460.13</v>
      </c>
      <c r="P888" s="9">
        <f>DecodeLabs[[#This Row],[Abandoned Cart]]*DecodeLabs[[#This Row],[UnitPrice]]</f>
        <v>0</v>
      </c>
    </row>
    <row r="889" spans="1:16" hidden="1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>
        <f t="shared" si="13"/>
        <v>4</v>
      </c>
      <c r="M889" t="s">
        <v>4283</v>
      </c>
      <c r="N889" t="s">
        <v>4282</v>
      </c>
      <c r="O889" s="11">
        <v>514.98</v>
      </c>
      <c r="P889" s="9">
        <f>DecodeLabs[[#This Row],[Abandoned Cart]]*DecodeLabs[[#This Row],[UnitPrice]]</f>
        <v>686.64</v>
      </c>
    </row>
    <row r="890" spans="1:16" hidden="1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9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>
        <f t="shared" si="13"/>
        <v>1</v>
      </c>
      <c r="M890" t="s">
        <v>4283</v>
      </c>
      <c r="N890" t="s">
        <v>4278</v>
      </c>
      <c r="O890" s="11">
        <v>533.9</v>
      </c>
      <c r="P890" s="9">
        <f>DecodeLabs[[#This Row],[Abandoned Cart]]*DecodeLabs[[#This Row],[UnitPrice]]</f>
        <v>266.95</v>
      </c>
    </row>
    <row r="891" spans="1:16" hidden="1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9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>
        <f t="shared" si="13"/>
        <v>3</v>
      </c>
      <c r="M891" t="s">
        <v>4277</v>
      </c>
      <c r="N891" t="s">
        <v>4280</v>
      </c>
      <c r="O891" s="11">
        <v>3253.6</v>
      </c>
      <c r="P891" s="9">
        <f>DecodeLabs[[#This Row],[Abandoned Cart]]*DecodeLabs[[#This Row],[UnitPrice]]</f>
        <v>1952.16</v>
      </c>
    </row>
    <row r="892" spans="1:16" hidden="1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9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>
        <f t="shared" si="13"/>
        <v>2</v>
      </c>
      <c r="M892" t="s">
        <v>4283</v>
      </c>
      <c r="N892" t="s">
        <v>4282</v>
      </c>
      <c r="O892" s="11">
        <v>1318.59</v>
      </c>
      <c r="P892" s="9">
        <f>DecodeLabs[[#This Row],[Abandoned Cart]]*DecodeLabs[[#This Row],[UnitPrice]]</f>
        <v>879.06</v>
      </c>
    </row>
    <row r="893" spans="1:16" hidden="1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9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>
        <f t="shared" si="13"/>
        <v>4</v>
      </c>
      <c r="M893" t="s">
        <v>4275</v>
      </c>
      <c r="N893" t="s">
        <v>4279</v>
      </c>
      <c r="O893" s="11">
        <v>1963.62</v>
      </c>
      <c r="P893" s="9">
        <f>DecodeLabs[[#This Row],[Abandoned Cart]]*DecodeLabs[[#This Row],[UnitPrice]]</f>
        <v>2618.16</v>
      </c>
    </row>
    <row r="894" spans="1:16" hidden="1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9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>
        <f t="shared" si="13"/>
        <v>1</v>
      </c>
      <c r="M894" t="s">
        <v>4276</v>
      </c>
      <c r="N894" t="s">
        <v>4279</v>
      </c>
      <c r="O894" s="11">
        <v>394.53</v>
      </c>
      <c r="P894" s="9">
        <f>DecodeLabs[[#This Row],[Abandoned Cart]]*DecodeLabs[[#This Row],[UnitPrice]]</f>
        <v>394.53</v>
      </c>
    </row>
    <row r="895" spans="1:16" hidden="1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9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>
        <f t="shared" si="13"/>
        <v>3</v>
      </c>
      <c r="M895" t="s">
        <v>4276</v>
      </c>
      <c r="N895" t="s">
        <v>4279</v>
      </c>
      <c r="O895" s="11">
        <v>678.01</v>
      </c>
      <c r="P895" s="9">
        <f>DecodeLabs[[#This Row],[Abandoned Cart]]*DecodeLabs[[#This Row],[UnitPrice]]</f>
        <v>2034.03</v>
      </c>
    </row>
    <row r="896" spans="1:16" hidden="1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9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>
        <f t="shared" si="13"/>
        <v>5</v>
      </c>
      <c r="M896" t="s">
        <v>4277</v>
      </c>
      <c r="N896" t="s">
        <v>4278</v>
      </c>
      <c r="O896" s="11">
        <v>1725.03</v>
      </c>
      <c r="P896" s="9">
        <f>DecodeLabs[[#This Row],[Abandoned Cart]]*DecodeLabs[[#This Row],[UnitPrice]]</f>
        <v>2875.05</v>
      </c>
    </row>
    <row r="897" spans="1:16" hidden="1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9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>
        <f t="shared" si="13"/>
        <v>3</v>
      </c>
      <c r="M897" t="s">
        <v>4277</v>
      </c>
      <c r="N897" t="s">
        <v>4281</v>
      </c>
      <c r="O897" s="11">
        <v>463.92</v>
      </c>
      <c r="P897" s="9">
        <f>DecodeLabs[[#This Row],[Abandoned Cart]]*DecodeLabs[[#This Row],[UnitPrice]]</f>
        <v>463.91999999999996</v>
      </c>
    </row>
    <row r="898" spans="1:16" hidden="1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9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>
        <f t="shared" ref="L898:L961" si="14">K898-E898</f>
        <v>0</v>
      </c>
      <c r="M898" t="s">
        <v>4276</v>
      </c>
      <c r="N898" t="s">
        <v>4282</v>
      </c>
      <c r="O898" s="11">
        <v>441.87</v>
      </c>
      <c r="P898" s="9">
        <f>DecodeLabs[[#This Row],[Abandoned Cart]]*DecodeLabs[[#This Row],[UnitPrice]]</f>
        <v>0</v>
      </c>
    </row>
    <row r="899" spans="1:16" hidden="1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>
        <f t="shared" si="14"/>
        <v>1</v>
      </c>
      <c r="M899" t="s">
        <v>4275</v>
      </c>
      <c r="N899" t="s">
        <v>4278</v>
      </c>
      <c r="O899" s="11">
        <v>1925.92</v>
      </c>
      <c r="P899" s="9">
        <f>DecodeLabs[[#This Row],[Abandoned Cart]]*DecodeLabs[[#This Row],[UnitPrice]]</f>
        <v>481.48</v>
      </c>
    </row>
    <row r="900" spans="1:16" hidden="1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9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>
        <f t="shared" si="14"/>
        <v>3</v>
      </c>
      <c r="M900" t="s">
        <v>4283</v>
      </c>
      <c r="N900" t="s">
        <v>4279</v>
      </c>
      <c r="O900" s="11">
        <v>475.11</v>
      </c>
      <c r="P900" s="9">
        <f>DecodeLabs[[#This Row],[Abandoned Cart]]*DecodeLabs[[#This Row],[UnitPrice]]</f>
        <v>475.11</v>
      </c>
    </row>
    <row r="901" spans="1:16" hidden="1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9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>
        <f t="shared" si="14"/>
        <v>1</v>
      </c>
      <c r="M901" t="s">
        <v>4275</v>
      </c>
      <c r="N901" t="s">
        <v>4278</v>
      </c>
      <c r="O901" s="11">
        <v>646.74</v>
      </c>
      <c r="P901" s="9">
        <f>DecodeLabs[[#This Row],[Abandoned Cart]]*DecodeLabs[[#This Row],[UnitPrice]]</f>
        <v>323.37</v>
      </c>
    </row>
    <row r="902" spans="1:16" hidden="1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9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>
        <f t="shared" si="14"/>
        <v>4</v>
      </c>
      <c r="M902" t="s">
        <v>4283</v>
      </c>
      <c r="N902" t="s">
        <v>4278</v>
      </c>
      <c r="O902" s="11">
        <v>369.15</v>
      </c>
      <c r="P902" s="9">
        <f>DecodeLabs[[#This Row],[Abandoned Cart]]*DecodeLabs[[#This Row],[UnitPrice]]</f>
        <v>295.32</v>
      </c>
    </row>
    <row r="903" spans="1:16" hidden="1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9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>
        <f t="shared" si="14"/>
        <v>3</v>
      </c>
      <c r="M903" t="s">
        <v>4277</v>
      </c>
      <c r="N903" t="s">
        <v>4279</v>
      </c>
      <c r="O903" s="11">
        <v>458.63</v>
      </c>
      <c r="P903" s="9">
        <f>DecodeLabs[[#This Row],[Abandoned Cart]]*DecodeLabs[[#This Row],[UnitPrice]]</f>
        <v>1375.8899999999999</v>
      </c>
    </row>
    <row r="904" spans="1:16" hidden="1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9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>
        <f t="shared" si="14"/>
        <v>3</v>
      </c>
      <c r="M904" t="s">
        <v>4283</v>
      </c>
      <c r="N904" t="s">
        <v>4281</v>
      </c>
      <c r="O904" s="11">
        <v>721</v>
      </c>
      <c r="P904" s="9">
        <f>DecodeLabs[[#This Row],[Abandoned Cart]]*DecodeLabs[[#This Row],[UnitPrice]]</f>
        <v>540.75</v>
      </c>
    </row>
    <row r="905" spans="1:16" hidden="1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9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>
        <f t="shared" si="14"/>
        <v>4</v>
      </c>
      <c r="M905" t="s">
        <v>4283</v>
      </c>
      <c r="N905" t="s">
        <v>4280</v>
      </c>
      <c r="O905" s="11">
        <v>1420.47</v>
      </c>
      <c r="P905" s="9">
        <f>DecodeLabs[[#This Row],[Abandoned Cart]]*DecodeLabs[[#This Row],[UnitPrice]]</f>
        <v>1893.96</v>
      </c>
    </row>
    <row r="906" spans="1:16" hidden="1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9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>
        <f t="shared" si="14"/>
        <v>4</v>
      </c>
      <c r="M906" t="s">
        <v>4277</v>
      </c>
      <c r="N906" t="s">
        <v>4279</v>
      </c>
      <c r="O906" s="11">
        <v>949.72</v>
      </c>
      <c r="P906" s="9">
        <f>DecodeLabs[[#This Row],[Abandoned Cart]]*DecodeLabs[[#This Row],[UnitPrice]]</f>
        <v>949.72</v>
      </c>
    </row>
    <row r="907" spans="1:16" hidden="1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9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>
        <f t="shared" si="14"/>
        <v>5</v>
      </c>
      <c r="M907" t="s">
        <v>4276</v>
      </c>
      <c r="N907" t="s">
        <v>4281</v>
      </c>
      <c r="O907" s="11">
        <v>442.39</v>
      </c>
      <c r="P907" s="9">
        <f>DecodeLabs[[#This Row],[Abandoned Cart]]*DecodeLabs[[#This Row],[UnitPrice]]</f>
        <v>2211.9499999999998</v>
      </c>
    </row>
    <row r="908" spans="1:16" hidden="1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9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>
        <f t="shared" si="14"/>
        <v>1</v>
      </c>
      <c r="M908" t="s">
        <v>4283</v>
      </c>
      <c r="N908" t="s">
        <v>4280</v>
      </c>
      <c r="O908" s="11">
        <v>62.12</v>
      </c>
      <c r="P908" s="9">
        <f>DecodeLabs[[#This Row],[Abandoned Cart]]*DecodeLabs[[#This Row],[UnitPrice]]</f>
        <v>62.12</v>
      </c>
    </row>
    <row r="909" spans="1:16" hidden="1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>
        <f t="shared" si="14"/>
        <v>2</v>
      </c>
      <c r="M909" t="s">
        <v>4277</v>
      </c>
      <c r="N909" t="s">
        <v>4279</v>
      </c>
      <c r="O909" s="11">
        <v>1491.95</v>
      </c>
      <c r="P909" s="9">
        <f>DecodeLabs[[#This Row],[Abandoned Cart]]*DecodeLabs[[#This Row],[UnitPrice]]</f>
        <v>596.78</v>
      </c>
    </row>
    <row r="910" spans="1:16" hidden="1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9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>
        <f t="shared" si="14"/>
        <v>0</v>
      </c>
      <c r="M910" t="s">
        <v>4275</v>
      </c>
      <c r="N910" t="s">
        <v>4282</v>
      </c>
      <c r="O910" s="11">
        <v>1395.86</v>
      </c>
      <c r="P910" s="9">
        <f>DecodeLabs[[#This Row],[Abandoned Cart]]*DecodeLabs[[#This Row],[UnitPrice]]</f>
        <v>0</v>
      </c>
    </row>
    <row r="911" spans="1:16" hidden="1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9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>
        <f t="shared" si="14"/>
        <v>3</v>
      </c>
      <c r="M911" t="s">
        <v>4276</v>
      </c>
      <c r="N911" t="s">
        <v>4278</v>
      </c>
      <c r="O911" s="11">
        <v>583.70000000000005</v>
      </c>
      <c r="P911" s="9">
        <f>DecodeLabs[[#This Row],[Abandoned Cart]]*DecodeLabs[[#This Row],[UnitPrice]]</f>
        <v>875.55000000000007</v>
      </c>
    </row>
    <row r="912" spans="1:16" hidden="1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9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>
        <f t="shared" si="14"/>
        <v>0</v>
      </c>
      <c r="M912" t="s">
        <v>4275</v>
      </c>
      <c r="N912" t="s">
        <v>4278</v>
      </c>
      <c r="O912" s="11">
        <v>926.94</v>
      </c>
      <c r="P912" s="9">
        <f>DecodeLabs[[#This Row],[Abandoned Cart]]*DecodeLabs[[#This Row],[UnitPrice]]</f>
        <v>0</v>
      </c>
    </row>
    <row r="913" spans="1:16" hidden="1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9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>
        <f t="shared" si="14"/>
        <v>4</v>
      </c>
      <c r="M913" t="s">
        <v>4275</v>
      </c>
      <c r="N913" t="s">
        <v>4278</v>
      </c>
      <c r="O913" s="11">
        <v>1984.3</v>
      </c>
      <c r="P913" s="9">
        <f>DecodeLabs[[#This Row],[Abandoned Cart]]*DecodeLabs[[#This Row],[UnitPrice]]</f>
        <v>1587.44</v>
      </c>
    </row>
    <row r="914" spans="1:16" hidden="1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9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>
        <f t="shared" si="14"/>
        <v>5</v>
      </c>
      <c r="M914" t="s">
        <v>4276</v>
      </c>
      <c r="N914" t="s">
        <v>4280</v>
      </c>
      <c r="O914" s="11">
        <v>279.38</v>
      </c>
      <c r="P914" s="9">
        <f>DecodeLabs[[#This Row],[Abandoned Cart]]*DecodeLabs[[#This Row],[UnitPrice]]</f>
        <v>698.45</v>
      </c>
    </row>
    <row r="915" spans="1:16" hidden="1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9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>
        <f t="shared" si="14"/>
        <v>3</v>
      </c>
      <c r="M915" t="s">
        <v>4277</v>
      </c>
      <c r="N915" t="s">
        <v>4281</v>
      </c>
      <c r="O915" s="11">
        <v>2379.75</v>
      </c>
      <c r="P915" s="9">
        <f>DecodeLabs[[#This Row],[Abandoned Cart]]*DecodeLabs[[#This Row],[UnitPrice]]</f>
        <v>1427.85</v>
      </c>
    </row>
    <row r="916" spans="1:16" hidden="1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9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>
        <f t="shared" si="14"/>
        <v>3</v>
      </c>
      <c r="M916" t="s">
        <v>4277</v>
      </c>
      <c r="N916" t="s">
        <v>4281</v>
      </c>
      <c r="O916" s="11">
        <v>626.6</v>
      </c>
      <c r="P916" s="9">
        <f>DecodeLabs[[#This Row],[Abandoned Cart]]*DecodeLabs[[#This Row],[UnitPrice]]</f>
        <v>1879.8000000000002</v>
      </c>
    </row>
    <row r="917" spans="1:16" hidden="1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9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>
        <f t="shared" si="14"/>
        <v>0</v>
      </c>
      <c r="M917" t="s">
        <v>4277</v>
      </c>
      <c r="N917" t="s">
        <v>4279</v>
      </c>
      <c r="O917" s="11">
        <v>2011.96</v>
      </c>
      <c r="P917" s="9">
        <f>DecodeLabs[[#This Row],[Abandoned Cart]]*DecodeLabs[[#This Row],[UnitPrice]]</f>
        <v>0</v>
      </c>
    </row>
    <row r="918" spans="1:16" hidden="1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9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>
        <f t="shared" si="14"/>
        <v>1</v>
      </c>
      <c r="M918" t="s">
        <v>4283</v>
      </c>
      <c r="N918" t="s">
        <v>4279</v>
      </c>
      <c r="O918" s="11">
        <v>2894.15</v>
      </c>
      <c r="P918" s="9">
        <f>DecodeLabs[[#This Row],[Abandoned Cart]]*DecodeLabs[[#This Row],[UnitPrice]]</f>
        <v>578.83000000000004</v>
      </c>
    </row>
    <row r="919" spans="1:16" hidden="1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>
        <f t="shared" si="14"/>
        <v>2</v>
      </c>
      <c r="M919" t="s">
        <v>4276</v>
      </c>
      <c r="N919" t="s">
        <v>4282</v>
      </c>
      <c r="O919" s="11">
        <v>1919.1</v>
      </c>
      <c r="P919" s="9">
        <f>DecodeLabs[[#This Row],[Abandoned Cart]]*DecodeLabs[[#This Row],[UnitPrice]]</f>
        <v>767.64</v>
      </c>
    </row>
    <row r="920" spans="1:16" hidden="1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9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>
        <f t="shared" si="14"/>
        <v>0</v>
      </c>
      <c r="M920" t="s">
        <v>4283</v>
      </c>
      <c r="N920" t="s">
        <v>4278</v>
      </c>
      <c r="O920" s="11">
        <v>1841.25</v>
      </c>
      <c r="P920" s="9">
        <f>DecodeLabs[[#This Row],[Abandoned Cart]]*DecodeLabs[[#This Row],[UnitPrice]]</f>
        <v>0</v>
      </c>
    </row>
    <row r="921" spans="1:16" hidden="1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9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>
        <f t="shared" si="14"/>
        <v>1</v>
      </c>
      <c r="M921" t="s">
        <v>4276</v>
      </c>
      <c r="N921" t="s">
        <v>4279</v>
      </c>
      <c r="O921" s="11">
        <v>749.2</v>
      </c>
      <c r="P921" s="9">
        <f>DecodeLabs[[#This Row],[Abandoned Cart]]*DecodeLabs[[#This Row],[UnitPrice]]</f>
        <v>374.6</v>
      </c>
    </row>
    <row r="922" spans="1:16" hidden="1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9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>
        <f t="shared" si="14"/>
        <v>4</v>
      </c>
      <c r="M922" t="s">
        <v>4283</v>
      </c>
      <c r="N922" t="s">
        <v>4278</v>
      </c>
      <c r="O922" s="11">
        <v>856.18</v>
      </c>
      <c r="P922" s="9">
        <f>DecodeLabs[[#This Row],[Abandoned Cart]]*DecodeLabs[[#This Row],[UnitPrice]]</f>
        <v>1712.36</v>
      </c>
    </row>
    <row r="923" spans="1:16" hidden="1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9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>
        <f t="shared" si="14"/>
        <v>2</v>
      </c>
      <c r="M923" t="s">
        <v>4275</v>
      </c>
      <c r="N923" t="s">
        <v>4279</v>
      </c>
      <c r="O923" s="11">
        <v>438.93</v>
      </c>
      <c r="P923" s="9">
        <f>DecodeLabs[[#This Row],[Abandoned Cart]]*DecodeLabs[[#This Row],[UnitPrice]]</f>
        <v>877.86</v>
      </c>
    </row>
    <row r="924" spans="1:16" hidden="1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9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>
        <f t="shared" si="14"/>
        <v>1</v>
      </c>
      <c r="M924" t="s">
        <v>4283</v>
      </c>
      <c r="N924" t="s">
        <v>4278</v>
      </c>
      <c r="O924" s="11">
        <v>1127.6400000000001</v>
      </c>
      <c r="P924" s="9">
        <f>DecodeLabs[[#This Row],[Abandoned Cart]]*DecodeLabs[[#This Row],[UnitPrice]]</f>
        <v>563.82000000000005</v>
      </c>
    </row>
    <row r="925" spans="1:16" hidden="1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9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>
        <f t="shared" si="14"/>
        <v>4</v>
      </c>
      <c r="M925" t="s">
        <v>4277</v>
      </c>
      <c r="N925" t="s">
        <v>4281</v>
      </c>
      <c r="O925" s="11">
        <v>1949.79</v>
      </c>
      <c r="P925" s="9">
        <f>DecodeLabs[[#This Row],[Abandoned Cart]]*DecodeLabs[[#This Row],[UnitPrice]]</f>
        <v>2599.7199999999998</v>
      </c>
    </row>
    <row r="926" spans="1:16" hidden="1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9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>
        <f t="shared" si="14"/>
        <v>0</v>
      </c>
      <c r="M926" t="s">
        <v>4275</v>
      </c>
      <c r="N926" t="s">
        <v>4280</v>
      </c>
      <c r="O926" s="11">
        <v>1342.15</v>
      </c>
      <c r="P926" s="9">
        <f>DecodeLabs[[#This Row],[Abandoned Cart]]*DecodeLabs[[#This Row],[UnitPrice]]</f>
        <v>0</v>
      </c>
    </row>
    <row r="927" spans="1:16" hidden="1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9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>
        <f t="shared" si="14"/>
        <v>5</v>
      </c>
      <c r="M927" t="s">
        <v>4277</v>
      </c>
      <c r="N927" t="s">
        <v>4280</v>
      </c>
      <c r="O927" s="11">
        <v>2512.35</v>
      </c>
      <c r="P927" s="9">
        <f>DecodeLabs[[#This Row],[Abandoned Cart]]*DecodeLabs[[#This Row],[UnitPrice]]</f>
        <v>2512.3500000000004</v>
      </c>
    </row>
    <row r="928" spans="1:16" hidden="1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9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>
        <f t="shared" si="14"/>
        <v>0</v>
      </c>
      <c r="M928" t="s">
        <v>4277</v>
      </c>
      <c r="N928" t="s">
        <v>4280</v>
      </c>
      <c r="O928" s="11">
        <v>26.95</v>
      </c>
      <c r="P928" s="9">
        <f>DecodeLabs[[#This Row],[Abandoned Cart]]*DecodeLabs[[#This Row],[UnitPrice]]</f>
        <v>0</v>
      </c>
    </row>
    <row r="929" spans="1:16" hidden="1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>
        <f t="shared" si="14"/>
        <v>3</v>
      </c>
      <c r="M929" t="s">
        <v>4277</v>
      </c>
      <c r="N929" t="s">
        <v>4282</v>
      </c>
      <c r="O929" s="11">
        <v>258.76</v>
      </c>
      <c r="P929" s="9">
        <f>DecodeLabs[[#This Row],[Abandoned Cart]]*DecodeLabs[[#This Row],[UnitPrice]]</f>
        <v>194.07</v>
      </c>
    </row>
    <row r="930" spans="1:16" hidden="1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9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>
        <f t="shared" si="14"/>
        <v>0</v>
      </c>
      <c r="M930" t="s">
        <v>4277</v>
      </c>
      <c r="N930" t="s">
        <v>4279</v>
      </c>
      <c r="O930" s="11">
        <v>741.33</v>
      </c>
      <c r="P930" s="9">
        <f>DecodeLabs[[#This Row],[Abandoned Cart]]*DecodeLabs[[#This Row],[UnitPrice]]</f>
        <v>0</v>
      </c>
    </row>
    <row r="931" spans="1:16" hidden="1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9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>
        <f t="shared" si="14"/>
        <v>1</v>
      </c>
      <c r="M931" t="s">
        <v>4283</v>
      </c>
      <c r="N931" t="s">
        <v>4280</v>
      </c>
      <c r="O931" s="11">
        <v>1072.5</v>
      </c>
      <c r="P931" s="9">
        <f>DecodeLabs[[#This Row],[Abandoned Cart]]*DecodeLabs[[#This Row],[UnitPrice]]</f>
        <v>536.25</v>
      </c>
    </row>
    <row r="932" spans="1:16" hidden="1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9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>
        <f t="shared" si="14"/>
        <v>2</v>
      </c>
      <c r="M932" t="s">
        <v>4276</v>
      </c>
      <c r="N932" t="s">
        <v>4280</v>
      </c>
      <c r="O932" s="11">
        <v>912.08</v>
      </c>
      <c r="P932" s="9">
        <f>DecodeLabs[[#This Row],[Abandoned Cart]]*DecodeLabs[[#This Row],[UnitPrice]]</f>
        <v>912.08</v>
      </c>
    </row>
    <row r="933" spans="1:16" hidden="1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9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>
        <f t="shared" si="14"/>
        <v>2</v>
      </c>
      <c r="M933" t="s">
        <v>4275</v>
      </c>
      <c r="N933" t="s">
        <v>4282</v>
      </c>
      <c r="O933" s="11">
        <v>80.459999999999994</v>
      </c>
      <c r="P933" s="9">
        <f>DecodeLabs[[#This Row],[Abandoned Cart]]*DecodeLabs[[#This Row],[UnitPrice]]</f>
        <v>80.459999999999994</v>
      </c>
    </row>
    <row r="934" spans="1:16" hidden="1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9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>
        <f t="shared" si="14"/>
        <v>5</v>
      </c>
      <c r="M934" t="s">
        <v>4277</v>
      </c>
      <c r="N934" t="s">
        <v>4278</v>
      </c>
      <c r="O934" s="11">
        <v>144.78</v>
      </c>
      <c r="P934" s="9">
        <f>DecodeLabs[[#This Row],[Abandoned Cart]]*DecodeLabs[[#This Row],[UnitPrice]]</f>
        <v>361.95</v>
      </c>
    </row>
    <row r="935" spans="1:16" hidden="1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9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>
        <f t="shared" si="14"/>
        <v>0</v>
      </c>
      <c r="M935" t="s">
        <v>4283</v>
      </c>
      <c r="N935" t="s">
        <v>4279</v>
      </c>
      <c r="O935" s="11">
        <v>788.32</v>
      </c>
      <c r="P935" s="9">
        <f>DecodeLabs[[#This Row],[Abandoned Cart]]*DecodeLabs[[#This Row],[UnitPrice]]</f>
        <v>0</v>
      </c>
    </row>
    <row r="936" spans="1:16" hidden="1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9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>
        <f t="shared" si="14"/>
        <v>4</v>
      </c>
      <c r="M936" t="s">
        <v>4276</v>
      </c>
      <c r="N936" t="s">
        <v>4279</v>
      </c>
      <c r="O936" s="11">
        <v>479.36</v>
      </c>
      <c r="P936" s="9">
        <f>DecodeLabs[[#This Row],[Abandoned Cart]]*DecodeLabs[[#This Row],[UnitPrice]]</f>
        <v>479.36</v>
      </c>
    </row>
    <row r="937" spans="1:16" hidden="1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9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>
        <f t="shared" si="14"/>
        <v>0</v>
      </c>
      <c r="M937" t="s">
        <v>4276</v>
      </c>
      <c r="N937" t="s">
        <v>4278</v>
      </c>
      <c r="O937" s="11">
        <v>2078.13</v>
      </c>
      <c r="P937" s="9">
        <f>DecodeLabs[[#This Row],[Abandoned Cart]]*DecodeLabs[[#This Row],[UnitPrice]]</f>
        <v>0</v>
      </c>
    </row>
    <row r="938" spans="1:16" hidden="1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9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>
        <f t="shared" si="14"/>
        <v>0</v>
      </c>
      <c r="M938" t="s">
        <v>4275</v>
      </c>
      <c r="N938" t="s">
        <v>4278</v>
      </c>
      <c r="O938" s="11">
        <v>226.64</v>
      </c>
      <c r="P938" s="9">
        <f>DecodeLabs[[#This Row],[Abandoned Cart]]*DecodeLabs[[#This Row],[UnitPrice]]</f>
        <v>0</v>
      </c>
    </row>
    <row r="939" spans="1:16" hidden="1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>
        <f t="shared" si="14"/>
        <v>3</v>
      </c>
      <c r="M939" t="s">
        <v>4277</v>
      </c>
      <c r="N939" t="s">
        <v>4280</v>
      </c>
      <c r="O939" s="11">
        <v>597.05999999999995</v>
      </c>
      <c r="P939" s="9">
        <f>DecodeLabs[[#This Row],[Abandoned Cart]]*DecodeLabs[[#This Row],[UnitPrice]]</f>
        <v>895.58999999999992</v>
      </c>
    </row>
    <row r="940" spans="1:16" hidden="1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9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>
        <f t="shared" si="14"/>
        <v>3</v>
      </c>
      <c r="M940" t="s">
        <v>4277</v>
      </c>
      <c r="N940" t="s">
        <v>4279</v>
      </c>
      <c r="O940" s="11">
        <v>994.37999999999988</v>
      </c>
      <c r="P940" s="9">
        <f>DecodeLabs[[#This Row],[Abandoned Cart]]*DecodeLabs[[#This Row],[UnitPrice]]</f>
        <v>994.37999999999988</v>
      </c>
    </row>
    <row r="941" spans="1:16" hidden="1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9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>
        <f t="shared" si="14"/>
        <v>5</v>
      </c>
      <c r="M941" t="s">
        <v>4275</v>
      </c>
      <c r="N941" t="s">
        <v>4278</v>
      </c>
      <c r="O941" s="11">
        <v>1042.8</v>
      </c>
      <c r="P941" s="9">
        <f>DecodeLabs[[#This Row],[Abandoned Cart]]*DecodeLabs[[#This Row],[UnitPrice]]</f>
        <v>2607</v>
      </c>
    </row>
    <row r="942" spans="1:16" hidden="1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9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>
        <f t="shared" si="14"/>
        <v>0</v>
      </c>
      <c r="M942" t="s">
        <v>4275</v>
      </c>
      <c r="N942" t="s">
        <v>4282</v>
      </c>
      <c r="O942" s="11">
        <v>1221.28</v>
      </c>
      <c r="P942" s="9">
        <f>DecodeLabs[[#This Row],[Abandoned Cart]]*DecodeLabs[[#This Row],[UnitPrice]]</f>
        <v>0</v>
      </c>
    </row>
    <row r="943" spans="1:16" hidden="1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9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>
        <f t="shared" si="14"/>
        <v>4</v>
      </c>
      <c r="M943" t="s">
        <v>4276</v>
      </c>
      <c r="N943" t="s">
        <v>4280</v>
      </c>
      <c r="O943" s="11">
        <v>558.5</v>
      </c>
      <c r="P943" s="9">
        <f>DecodeLabs[[#This Row],[Abandoned Cart]]*DecodeLabs[[#This Row],[UnitPrice]]</f>
        <v>446.8</v>
      </c>
    </row>
    <row r="944" spans="1:16" hidden="1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9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>
        <f t="shared" si="14"/>
        <v>0</v>
      </c>
      <c r="M944" t="s">
        <v>4283</v>
      </c>
      <c r="N944" t="s">
        <v>4280</v>
      </c>
      <c r="O944" s="11">
        <v>479.76</v>
      </c>
      <c r="P944" s="9">
        <f>DecodeLabs[[#This Row],[Abandoned Cart]]*DecodeLabs[[#This Row],[UnitPrice]]</f>
        <v>0</v>
      </c>
    </row>
    <row r="945" spans="1:16" hidden="1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9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>
        <f t="shared" si="14"/>
        <v>3</v>
      </c>
      <c r="M945" t="s">
        <v>4276</v>
      </c>
      <c r="N945" t="s">
        <v>4281</v>
      </c>
      <c r="O945" s="11">
        <v>580.47</v>
      </c>
      <c r="P945" s="9">
        <f>DecodeLabs[[#This Row],[Abandoned Cart]]*DecodeLabs[[#This Row],[UnitPrice]]</f>
        <v>580.47</v>
      </c>
    </row>
    <row r="946" spans="1:16" hidden="1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9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>
        <f t="shared" si="14"/>
        <v>5</v>
      </c>
      <c r="M946" t="s">
        <v>4277</v>
      </c>
      <c r="N946" t="s">
        <v>4282</v>
      </c>
      <c r="O946" s="11">
        <v>852.44</v>
      </c>
      <c r="P946" s="9">
        <f>DecodeLabs[[#This Row],[Abandoned Cart]]*DecodeLabs[[#This Row],[UnitPrice]]</f>
        <v>2131.1000000000004</v>
      </c>
    </row>
    <row r="947" spans="1:16" hidden="1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9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>
        <f t="shared" si="14"/>
        <v>5</v>
      </c>
      <c r="M947" t="s">
        <v>4276</v>
      </c>
      <c r="N947" t="s">
        <v>4279</v>
      </c>
      <c r="O947" s="11">
        <v>1382.2</v>
      </c>
      <c r="P947" s="9">
        <f>DecodeLabs[[#This Row],[Abandoned Cart]]*DecodeLabs[[#This Row],[UnitPrice]]</f>
        <v>1382.2</v>
      </c>
    </row>
    <row r="948" spans="1:16" hidden="1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9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>
        <f t="shared" si="14"/>
        <v>2</v>
      </c>
      <c r="M948" t="s">
        <v>4275</v>
      </c>
      <c r="N948" t="s">
        <v>4280</v>
      </c>
      <c r="O948" s="11">
        <v>809.92</v>
      </c>
      <c r="P948" s="9">
        <f>DecodeLabs[[#This Row],[Abandoned Cart]]*DecodeLabs[[#This Row],[UnitPrice]]</f>
        <v>809.92</v>
      </c>
    </row>
    <row r="949" spans="1:16" hidden="1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>
        <f t="shared" si="14"/>
        <v>5</v>
      </c>
      <c r="M949" t="s">
        <v>4276</v>
      </c>
      <c r="N949" t="s">
        <v>4280</v>
      </c>
      <c r="O949" s="11">
        <v>1862.64</v>
      </c>
      <c r="P949" s="9">
        <f>DecodeLabs[[#This Row],[Abandoned Cart]]*DecodeLabs[[#This Row],[UnitPrice]]</f>
        <v>2328.3000000000002</v>
      </c>
    </row>
    <row r="950" spans="1:16" hidden="1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9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>
        <f t="shared" si="14"/>
        <v>0</v>
      </c>
      <c r="M950" t="s">
        <v>4283</v>
      </c>
      <c r="N950" t="s">
        <v>4282</v>
      </c>
      <c r="O950" s="11">
        <v>1188.1400000000001</v>
      </c>
      <c r="P950" s="9">
        <f>DecodeLabs[[#This Row],[Abandoned Cart]]*DecodeLabs[[#This Row],[UnitPrice]]</f>
        <v>0</v>
      </c>
    </row>
    <row r="951" spans="1:16" hidden="1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9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>
        <f t="shared" si="14"/>
        <v>5</v>
      </c>
      <c r="M951" t="s">
        <v>4283</v>
      </c>
      <c r="N951" t="s">
        <v>4279</v>
      </c>
      <c r="O951" s="11">
        <v>551.9</v>
      </c>
      <c r="P951" s="9">
        <f>DecodeLabs[[#This Row],[Abandoned Cart]]*DecodeLabs[[#This Row],[UnitPrice]]</f>
        <v>551.9</v>
      </c>
    </row>
    <row r="952" spans="1:16" hidden="1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9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>
        <f t="shared" si="14"/>
        <v>3</v>
      </c>
      <c r="M952" t="s">
        <v>4276</v>
      </c>
      <c r="N952" t="s">
        <v>4278</v>
      </c>
      <c r="O952" s="11">
        <v>596.24</v>
      </c>
      <c r="P952" s="9">
        <f>DecodeLabs[[#This Row],[Abandoned Cart]]*DecodeLabs[[#This Row],[UnitPrice]]</f>
        <v>1788.72</v>
      </c>
    </row>
    <row r="953" spans="1:16" hidden="1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9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>
        <f t="shared" si="14"/>
        <v>2</v>
      </c>
      <c r="M953" t="s">
        <v>4276</v>
      </c>
      <c r="N953" t="s">
        <v>4280</v>
      </c>
      <c r="O953" s="11">
        <v>612.48</v>
      </c>
      <c r="P953" s="9">
        <f>DecodeLabs[[#This Row],[Abandoned Cart]]*DecodeLabs[[#This Row],[UnitPrice]]</f>
        <v>612.48</v>
      </c>
    </row>
    <row r="954" spans="1:16" hidden="1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9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>
        <f t="shared" si="14"/>
        <v>2</v>
      </c>
      <c r="M954" t="s">
        <v>4283</v>
      </c>
      <c r="N954" t="s">
        <v>4281</v>
      </c>
      <c r="O954" s="11">
        <v>1510.17</v>
      </c>
      <c r="P954" s="9">
        <f>DecodeLabs[[#This Row],[Abandoned Cart]]*DecodeLabs[[#This Row],[UnitPrice]]</f>
        <v>1006.78</v>
      </c>
    </row>
    <row r="955" spans="1:16" hidden="1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9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>
        <f t="shared" si="14"/>
        <v>1</v>
      </c>
      <c r="M955" t="s">
        <v>4276</v>
      </c>
      <c r="N955" t="s">
        <v>4281</v>
      </c>
      <c r="O955" s="11">
        <v>131.61000000000001</v>
      </c>
      <c r="P955" s="9">
        <f>DecodeLabs[[#This Row],[Abandoned Cart]]*DecodeLabs[[#This Row],[UnitPrice]]</f>
        <v>131.61000000000001</v>
      </c>
    </row>
    <row r="956" spans="1:16" hidden="1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9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>
        <f t="shared" si="14"/>
        <v>0</v>
      </c>
      <c r="M956" t="s">
        <v>4276</v>
      </c>
      <c r="N956" t="s">
        <v>4282</v>
      </c>
      <c r="O956" s="11">
        <v>1330.32</v>
      </c>
      <c r="P956" s="9">
        <f>DecodeLabs[[#This Row],[Abandoned Cart]]*DecodeLabs[[#This Row],[UnitPrice]]</f>
        <v>0</v>
      </c>
    </row>
    <row r="957" spans="1:16" hidden="1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9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>
        <f t="shared" si="14"/>
        <v>2</v>
      </c>
      <c r="M957" t="s">
        <v>4277</v>
      </c>
      <c r="N957" t="s">
        <v>4278</v>
      </c>
      <c r="O957" s="11">
        <v>408.13</v>
      </c>
      <c r="P957" s="9">
        <f>DecodeLabs[[#This Row],[Abandoned Cart]]*DecodeLabs[[#This Row],[UnitPrice]]</f>
        <v>816.26</v>
      </c>
    </row>
    <row r="958" spans="1:16" hidden="1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9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>
        <f t="shared" si="14"/>
        <v>1</v>
      </c>
      <c r="M958" t="s">
        <v>4275</v>
      </c>
      <c r="N958" t="s">
        <v>4279</v>
      </c>
      <c r="O958" s="11">
        <v>321.95999999999998</v>
      </c>
      <c r="P958" s="9">
        <f>DecodeLabs[[#This Row],[Abandoned Cart]]*DecodeLabs[[#This Row],[UnitPrice]]</f>
        <v>160.97999999999999</v>
      </c>
    </row>
    <row r="959" spans="1:16" hidden="1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>
        <f t="shared" si="14"/>
        <v>3</v>
      </c>
      <c r="M959" t="s">
        <v>4277</v>
      </c>
      <c r="N959" t="s">
        <v>4281</v>
      </c>
      <c r="O959" s="11">
        <v>3219.45</v>
      </c>
      <c r="P959" s="9">
        <f>DecodeLabs[[#This Row],[Abandoned Cart]]*DecodeLabs[[#This Row],[UnitPrice]]</f>
        <v>1931.67</v>
      </c>
    </row>
    <row r="960" spans="1:16" hidden="1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9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>
        <f t="shared" si="14"/>
        <v>4</v>
      </c>
      <c r="M960" t="s">
        <v>4277</v>
      </c>
      <c r="N960" t="s">
        <v>4280</v>
      </c>
      <c r="O960" s="11">
        <v>475.98</v>
      </c>
      <c r="P960" s="9">
        <f>DecodeLabs[[#This Row],[Abandoned Cart]]*DecodeLabs[[#This Row],[UnitPrice]]</f>
        <v>634.64</v>
      </c>
    </row>
    <row r="961" spans="1:16" hidden="1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9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>
        <f t="shared" si="14"/>
        <v>4</v>
      </c>
      <c r="M961" t="s">
        <v>4275</v>
      </c>
      <c r="N961" t="s">
        <v>4278</v>
      </c>
      <c r="O961" s="11">
        <v>287.64</v>
      </c>
      <c r="P961" s="9">
        <f>DecodeLabs[[#This Row],[Abandoned Cart]]*DecodeLabs[[#This Row],[UnitPrice]]</f>
        <v>575.28</v>
      </c>
    </row>
    <row r="962" spans="1:16" hidden="1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9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>
        <f t="shared" ref="L962:L1025" si="15">K962-E962</f>
        <v>0</v>
      </c>
      <c r="M962" t="s">
        <v>4277</v>
      </c>
      <c r="N962" t="s">
        <v>4282</v>
      </c>
      <c r="O962" s="11">
        <v>1137.21</v>
      </c>
      <c r="P962" s="9">
        <f>DecodeLabs[[#This Row],[Abandoned Cart]]*DecodeLabs[[#This Row],[UnitPrice]]</f>
        <v>0</v>
      </c>
    </row>
    <row r="963" spans="1:16" hidden="1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9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>
        <f t="shared" si="15"/>
        <v>0</v>
      </c>
      <c r="M963" t="s">
        <v>4283</v>
      </c>
      <c r="N963" t="s">
        <v>4281</v>
      </c>
      <c r="O963" s="11">
        <v>601.36</v>
      </c>
      <c r="P963" s="9">
        <f>DecodeLabs[[#This Row],[Abandoned Cart]]*DecodeLabs[[#This Row],[UnitPrice]]</f>
        <v>0</v>
      </c>
    </row>
    <row r="964" spans="1:16" hidden="1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9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>
        <f t="shared" si="15"/>
        <v>2</v>
      </c>
      <c r="M964" t="s">
        <v>4275</v>
      </c>
      <c r="N964" t="s">
        <v>4279</v>
      </c>
      <c r="O964" s="11">
        <v>284.16000000000003</v>
      </c>
      <c r="P964" s="9">
        <f>DecodeLabs[[#This Row],[Abandoned Cart]]*DecodeLabs[[#This Row],[UnitPrice]]</f>
        <v>284.16000000000003</v>
      </c>
    </row>
    <row r="965" spans="1:16" hidden="1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9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>
        <f t="shared" si="15"/>
        <v>4</v>
      </c>
      <c r="M965" t="s">
        <v>4276</v>
      </c>
      <c r="N965" t="s">
        <v>4282</v>
      </c>
      <c r="O965" s="11">
        <v>2651.7</v>
      </c>
      <c r="P965" s="9">
        <f>DecodeLabs[[#This Row],[Abandoned Cart]]*DecodeLabs[[#This Row],[UnitPrice]]</f>
        <v>2121.36</v>
      </c>
    </row>
    <row r="966" spans="1:16" hidden="1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9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>
        <f t="shared" si="15"/>
        <v>5</v>
      </c>
      <c r="M966" t="s">
        <v>4275</v>
      </c>
      <c r="N966" t="s">
        <v>4279</v>
      </c>
      <c r="O966" s="11">
        <v>1822.1</v>
      </c>
      <c r="P966" s="9">
        <f>DecodeLabs[[#This Row],[Abandoned Cart]]*DecodeLabs[[#This Row],[UnitPrice]]</f>
        <v>1822.1000000000001</v>
      </c>
    </row>
    <row r="967" spans="1:16" hidden="1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9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>
        <f t="shared" si="15"/>
        <v>1</v>
      </c>
      <c r="M967" t="s">
        <v>4276</v>
      </c>
      <c r="N967" t="s">
        <v>4280</v>
      </c>
      <c r="O967" s="11">
        <v>2313.12</v>
      </c>
      <c r="P967" s="9">
        <f>DecodeLabs[[#This Row],[Abandoned Cart]]*DecodeLabs[[#This Row],[UnitPrice]]</f>
        <v>578.28</v>
      </c>
    </row>
    <row r="968" spans="1:16" hidden="1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9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>
        <f t="shared" si="15"/>
        <v>2</v>
      </c>
      <c r="M968" t="s">
        <v>4277</v>
      </c>
      <c r="N968" t="s">
        <v>4281</v>
      </c>
      <c r="O968" s="11">
        <v>1402.6</v>
      </c>
      <c r="P968" s="9">
        <f>DecodeLabs[[#This Row],[Abandoned Cart]]*DecodeLabs[[#This Row],[UnitPrice]]</f>
        <v>561.04</v>
      </c>
    </row>
    <row r="969" spans="1:16" hidden="1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>
        <f t="shared" si="15"/>
        <v>0</v>
      </c>
      <c r="M969" t="s">
        <v>4276</v>
      </c>
      <c r="N969" t="s">
        <v>4282</v>
      </c>
      <c r="O969" s="11">
        <v>3194.6</v>
      </c>
      <c r="P969" s="9">
        <f>DecodeLabs[[#This Row],[Abandoned Cart]]*DecodeLabs[[#This Row],[UnitPrice]]</f>
        <v>0</v>
      </c>
    </row>
    <row r="970" spans="1:16" hidden="1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9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>
        <f t="shared" si="15"/>
        <v>2</v>
      </c>
      <c r="M970" t="s">
        <v>4277</v>
      </c>
      <c r="N970" t="s">
        <v>4279</v>
      </c>
      <c r="O970" s="11">
        <v>1648.8</v>
      </c>
      <c r="P970" s="9">
        <f>DecodeLabs[[#This Row],[Abandoned Cart]]*DecodeLabs[[#This Row],[UnitPrice]]</f>
        <v>824.4</v>
      </c>
    </row>
    <row r="971" spans="1:16" hidden="1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9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>
        <f t="shared" si="15"/>
        <v>1</v>
      </c>
      <c r="M971" t="s">
        <v>4277</v>
      </c>
      <c r="N971" t="s">
        <v>4281</v>
      </c>
      <c r="O971" s="11">
        <v>440.34</v>
      </c>
      <c r="P971" s="9">
        <f>DecodeLabs[[#This Row],[Abandoned Cart]]*DecodeLabs[[#This Row],[UnitPrice]]</f>
        <v>440.34</v>
      </c>
    </row>
    <row r="972" spans="1:16" hidden="1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9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>
        <f t="shared" si="15"/>
        <v>4</v>
      </c>
      <c r="M972" t="s">
        <v>4275</v>
      </c>
      <c r="N972" t="s">
        <v>4278</v>
      </c>
      <c r="O972" s="11">
        <v>627.15</v>
      </c>
      <c r="P972" s="9">
        <f>DecodeLabs[[#This Row],[Abandoned Cart]]*DecodeLabs[[#This Row],[UnitPrice]]</f>
        <v>2508.6</v>
      </c>
    </row>
    <row r="973" spans="1:16" hidden="1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9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>
        <f t="shared" si="15"/>
        <v>2</v>
      </c>
      <c r="M973" t="s">
        <v>4277</v>
      </c>
      <c r="N973" t="s">
        <v>4279</v>
      </c>
      <c r="O973" s="11">
        <v>1210.52</v>
      </c>
      <c r="P973" s="9">
        <f>DecodeLabs[[#This Row],[Abandoned Cart]]*DecodeLabs[[#This Row],[UnitPrice]]</f>
        <v>1210.52</v>
      </c>
    </row>
    <row r="974" spans="1:16" hidden="1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9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>
        <f t="shared" si="15"/>
        <v>4</v>
      </c>
      <c r="M974" t="s">
        <v>4275</v>
      </c>
      <c r="N974" t="s">
        <v>4281</v>
      </c>
      <c r="O974" s="11">
        <v>90.27</v>
      </c>
      <c r="P974" s="9">
        <f>DecodeLabs[[#This Row],[Abandoned Cart]]*DecodeLabs[[#This Row],[UnitPrice]]</f>
        <v>361.08</v>
      </c>
    </row>
    <row r="975" spans="1:16" hidden="1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9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>
        <f t="shared" si="15"/>
        <v>5</v>
      </c>
      <c r="M975" t="s">
        <v>4277</v>
      </c>
      <c r="N975" t="s">
        <v>4279</v>
      </c>
      <c r="O975" s="11">
        <v>1153.8499999999999</v>
      </c>
      <c r="P975" s="9">
        <f>DecodeLabs[[#This Row],[Abandoned Cart]]*DecodeLabs[[#This Row],[UnitPrice]]</f>
        <v>1153.8500000000001</v>
      </c>
    </row>
    <row r="976" spans="1:16" hidden="1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9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>
        <f t="shared" si="15"/>
        <v>0</v>
      </c>
      <c r="M976" t="s">
        <v>4283</v>
      </c>
      <c r="N976" t="s">
        <v>4280</v>
      </c>
      <c r="O976" s="11">
        <v>1333.9</v>
      </c>
      <c r="P976" s="9">
        <f>DecodeLabs[[#This Row],[Abandoned Cart]]*DecodeLabs[[#This Row],[UnitPrice]]</f>
        <v>0</v>
      </c>
    </row>
    <row r="977" spans="1:16" hidden="1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9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>
        <f t="shared" si="15"/>
        <v>5</v>
      </c>
      <c r="M977" t="s">
        <v>4275</v>
      </c>
      <c r="N977" t="s">
        <v>4280</v>
      </c>
      <c r="O977" s="11">
        <v>105.92</v>
      </c>
      <c r="P977" s="9">
        <f>DecodeLabs[[#This Row],[Abandoned Cart]]*DecodeLabs[[#This Row],[UnitPrice]]</f>
        <v>529.6</v>
      </c>
    </row>
    <row r="978" spans="1:16" hidden="1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9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>
        <f t="shared" si="15"/>
        <v>3</v>
      </c>
      <c r="M978" t="s">
        <v>4277</v>
      </c>
      <c r="N978" t="s">
        <v>4279</v>
      </c>
      <c r="O978" s="11">
        <v>1767.9</v>
      </c>
      <c r="P978" s="9">
        <f>DecodeLabs[[#This Row],[Abandoned Cart]]*DecodeLabs[[#This Row],[UnitPrice]]</f>
        <v>1767.8999999999999</v>
      </c>
    </row>
    <row r="979" spans="1:16" hidden="1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>
        <f t="shared" si="15"/>
        <v>4</v>
      </c>
      <c r="M979" t="s">
        <v>4275</v>
      </c>
      <c r="N979" t="s">
        <v>4282</v>
      </c>
      <c r="O979" s="11">
        <v>2597.88</v>
      </c>
      <c r="P979" s="9">
        <f>DecodeLabs[[#This Row],[Abandoned Cart]]*DecodeLabs[[#This Row],[UnitPrice]]</f>
        <v>2597.88</v>
      </c>
    </row>
    <row r="980" spans="1:16" hidden="1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9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>
        <f t="shared" si="15"/>
        <v>1</v>
      </c>
      <c r="M980" t="s">
        <v>4283</v>
      </c>
      <c r="N980" t="s">
        <v>4282</v>
      </c>
      <c r="O980" s="11">
        <v>429.96</v>
      </c>
      <c r="P980" s="9">
        <f>DecodeLabs[[#This Row],[Abandoned Cart]]*DecodeLabs[[#This Row],[UnitPrice]]</f>
        <v>107.49</v>
      </c>
    </row>
    <row r="981" spans="1:16" hidden="1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9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>
        <f t="shared" si="15"/>
        <v>4</v>
      </c>
      <c r="M981" t="s">
        <v>4275</v>
      </c>
      <c r="N981" t="s">
        <v>4281</v>
      </c>
      <c r="O981" s="11">
        <v>2007.18</v>
      </c>
      <c r="P981" s="9">
        <f>DecodeLabs[[#This Row],[Abandoned Cart]]*DecodeLabs[[#This Row],[UnitPrice]]</f>
        <v>2676.24</v>
      </c>
    </row>
    <row r="982" spans="1:16" hidden="1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9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>
        <f t="shared" si="15"/>
        <v>4</v>
      </c>
      <c r="M982" t="s">
        <v>4277</v>
      </c>
      <c r="N982" t="s">
        <v>4278</v>
      </c>
      <c r="O982" s="11">
        <v>208.95</v>
      </c>
      <c r="P982" s="9">
        <f>DecodeLabs[[#This Row],[Abandoned Cart]]*DecodeLabs[[#This Row],[UnitPrice]]</f>
        <v>278.60000000000002</v>
      </c>
    </row>
    <row r="983" spans="1:16" hidden="1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9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>
        <f t="shared" si="15"/>
        <v>4</v>
      </c>
      <c r="M983" t="s">
        <v>4275</v>
      </c>
      <c r="N983" t="s">
        <v>4280</v>
      </c>
      <c r="O983" s="11">
        <v>547.32000000000005</v>
      </c>
      <c r="P983" s="9">
        <f>DecodeLabs[[#This Row],[Abandoned Cart]]*DecodeLabs[[#This Row],[UnitPrice]]</f>
        <v>547.32000000000005</v>
      </c>
    </row>
    <row r="984" spans="1:16" hidden="1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9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>
        <f t="shared" si="15"/>
        <v>1</v>
      </c>
      <c r="M984" t="s">
        <v>4275</v>
      </c>
      <c r="N984" t="s">
        <v>4279</v>
      </c>
      <c r="O984" s="11">
        <v>304.11</v>
      </c>
      <c r="P984" s="9">
        <f>DecodeLabs[[#This Row],[Abandoned Cart]]*DecodeLabs[[#This Row],[UnitPrice]]</f>
        <v>304.11</v>
      </c>
    </row>
    <row r="985" spans="1:16" hidden="1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9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>
        <f t="shared" si="15"/>
        <v>1</v>
      </c>
      <c r="M985" t="s">
        <v>4275</v>
      </c>
      <c r="N985" t="s">
        <v>4280</v>
      </c>
      <c r="O985" s="11">
        <v>1185.1199999999999</v>
      </c>
      <c r="P985" s="9">
        <f>DecodeLabs[[#This Row],[Abandoned Cart]]*DecodeLabs[[#This Row],[UnitPrice]]</f>
        <v>296.27999999999997</v>
      </c>
    </row>
    <row r="986" spans="1:16" hidden="1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9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>
        <f t="shared" si="15"/>
        <v>0</v>
      </c>
      <c r="M986" t="s">
        <v>4276</v>
      </c>
      <c r="N986" t="s">
        <v>4281</v>
      </c>
      <c r="O986" s="11">
        <v>77.64</v>
      </c>
      <c r="P986" s="9">
        <f>DecodeLabs[[#This Row],[Abandoned Cart]]*DecodeLabs[[#This Row],[UnitPrice]]</f>
        <v>0</v>
      </c>
    </row>
    <row r="987" spans="1:16" hidden="1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9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>
        <f t="shared" si="15"/>
        <v>5</v>
      </c>
      <c r="M987" t="s">
        <v>4275</v>
      </c>
      <c r="N987" t="s">
        <v>4282</v>
      </c>
      <c r="O987" s="11">
        <v>243.71</v>
      </c>
      <c r="P987" s="9">
        <f>DecodeLabs[[#This Row],[Abandoned Cart]]*DecodeLabs[[#This Row],[UnitPrice]]</f>
        <v>1218.55</v>
      </c>
    </row>
    <row r="988" spans="1:16" hidden="1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9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>
        <f t="shared" si="15"/>
        <v>3</v>
      </c>
      <c r="M988" t="s">
        <v>4276</v>
      </c>
      <c r="N988" t="s">
        <v>4280</v>
      </c>
      <c r="O988" s="11">
        <v>2579.84</v>
      </c>
      <c r="P988" s="9">
        <f>DecodeLabs[[#This Row],[Abandoned Cart]]*DecodeLabs[[#This Row],[UnitPrice]]</f>
        <v>1934.88</v>
      </c>
    </row>
    <row r="989" spans="1:16" hidden="1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>
        <f t="shared" si="15"/>
        <v>3</v>
      </c>
      <c r="M989" t="s">
        <v>4276</v>
      </c>
      <c r="N989" t="s">
        <v>4278</v>
      </c>
      <c r="O989" s="11">
        <v>1418.65</v>
      </c>
      <c r="P989" s="9">
        <f>DecodeLabs[[#This Row],[Abandoned Cart]]*DecodeLabs[[#This Row],[UnitPrice]]</f>
        <v>851.19</v>
      </c>
    </row>
    <row r="990" spans="1:16" hidden="1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9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>
        <f t="shared" si="15"/>
        <v>3</v>
      </c>
      <c r="M990" t="s">
        <v>4277</v>
      </c>
      <c r="N990" t="s">
        <v>4278</v>
      </c>
      <c r="O990" s="11">
        <v>1259.1199999999999</v>
      </c>
      <c r="P990" s="9">
        <f>DecodeLabs[[#This Row],[Abandoned Cart]]*DecodeLabs[[#This Row],[UnitPrice]]</f>
        <v>1888.6799999999998</v>
      </c>
    </row>
    <row r="991" spans="1:16" hidden="1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9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>
        <f t="shared" si="15"/>
        <v>0</v>
      </c>
      <c r="M991" t="s">
        <v>4275</v>
      </c>
      <c r="N991" t="s">
        <v>4278</v>
      </c>
      <c r="O991" s="11">
        <v>984.44</v>
      </c>
      <c r="P991" s="9">
        <f>DecodeLabs[[#This Row],[Abandoned Cart]]*DecodeLabs[[#This Row],[UnitPrice]]</f>
        <v>0</v>
      </c>
    </row>
    <row r="992" spans="1:16" hidden="1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9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>
        <f t="shared" si="15"/>
        <v>0</v>
      </c>
      <c r="M992" t="s">
        <v>4275</v>
      </c>
      <c r="N992" t="s">
        <v>4282</v>
      </c>
      <c r="O992" s="11">
        <v>836.52</v>
      </c>
      <c r="P992" s="9">
        <f>DecodeLabs[[#This Row],[Abandoned Cart]]*DecodeLabs[[#This Row],[UnitPrice]]</f>
        <v>0</v>
      </c>
    </row>
    <row r="993" spans="1:16" hidden="1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9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>
        <f t="shared" si="15"/>
        <v>5</v>
      </c>
      <c r="M993" t="s">
        <v>4276</v>
      </c>
      <c r="N993" t="s">
        <v>4282</v>
      </c>
      <c r="O993" s="11">
        <v>635.90000000000009</v>
      </c>
      <c r="P993" s="9">
        <f>DecodeLabs[[#This Row],[Abandoned Cart]]*DecodeLabs[[#This Row],[UnitPrice]]</f>
        <v>635.90000000000009</v>
      </c>
    </row>
    <row r="994" spans="1:16" hidden="1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9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>
        <f t="shared" si="15"/>
        <v>1</v>
      </c>
      <c r="M994" t="s">
        <v>4277</v>
      </c>
      <c r="N994" t="s">
        <v>4279</v>
      </c>
      <c r="O994" s="11">
        <v>1758.63</v>
      </c>
      <c r="P994" s="9">
        <f>DecodeLabs[[#This Row],[Abandoned Cart]]*DecodeLabs[[#This Row],[UnitPrice]]</f>
        <v>586.21</v>
      </c>
    </row>
    <row r="995" spans="1:16" hidden="1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9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>
        <f t="shared" si="15"/>
        <v>2</v>
      </c>
      <c r="M995" t="s">
        <v>4277</v>
      </c>
      <c r="N995" t="s">
        <v>4278</v>
      </c>
      <c r="O995" s="11">
        <v>802.34999999999991</v>
      </c>
      <c r="P995" s="9">
        <f>DecodeLabs[[#This Row],[Abandoned Cart]]*DecodeLabs[[#This Row],[UnitPrice]]</f>
        <v>534.9</v>
      </c>
    </row>
    <row r="996" spans="1:16" hidden="1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9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>
        <f t="shared" si="15"/>
        <v>5</v>
      </c>
      <c r="M996" t="s">
        <v>4277</v>
      </c>
      <c r="N996" t="s">
        <v>4282</v>
      </c>
      <c r="O996" s="11">
        <v>2462.6</v>
      </c>
      <c r="P996" s="9">
        <f>DecodeLabs[[#This Row],[Abandoned Cart]]*DecodeLabs[[#This Row],[UnitPrice]]</f>
        <v>3078.25</v>
      </c>
    </row>
    <row r="997" spans="1:16" hidden="1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9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>
        <f t="shared" si="15"/>
        <v>3</v>
      </c>
      <c r="M997" t="s">
        <v>4275</v>
      </c>
      <c r="N997" t="s">
        <v>4281</v>
      </c>
      <c r="O997" s="11">
        <v>226.58</v>
      </c>
      <c r="P997" s="9">
        <f>DecodeLabs[[#This Row],[Abandoned Cart]]*DecodeLabs[[#This Row],[UnitPrice]]</f>
        <v>339.87</v>
      </c>
    </row>
    <row r="998" spans="1:16" hidden="1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9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>
        <f t="shared" si="15"/>
        <v>3</v>
      </c>
      <c r="M998" t="s">
        <v>4275</v>
      </c>
      <c r="N998" t="s">
        <v>4281</v>
      </c>
      <c r="O998" s="11">
        <v>1895.44</v>
      </c>
      <c r="P998" s="9">
        <f>DecodeLabs[[#This Row],[Abandoned Cart]]*DecodeLabs[[#This Row],[UnitPrice]]</f>
        <v>1421.58</v>
      </c>
    </row>
    <row r="999" spans="1:16" hidden="1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>
        <f t="shared" si="15"/>
        <v>3</v>
      </c>
      <c r="M999" t="s">
        <v>4275</v>
      </c>
      <c r="N999" t="s">
        <v>4281</v>
      </c>
      <c r="O999" s="11">
        <v>1334.25</v>
      </c>
      <c r="P999" s="9">
        <f>DecodeLabs[[#This Row],[Abandoned Cart]]*DecodeLabs[[#This Row],[UnitPrice]]</f>
        <v>1334.25</v>
      </c>
    </row>
    <row r="1000" spans="1:16" hidden="1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9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>
        <f t="shared" si="15"/>
        <v>4</v>
      </c>
      <c r="M1000" t="s">
        <v>4275</v>
      </c>
      <c r="N1000" t="s">
        <v>4282</v>
      </c>
      <c r="O1000" s="11">
        <v>367.34</v>
      </c>
      <c r="P1000" s="9">
        <f>DecodeLabs[[#This Row],[Abandoned Cart]]*DecodeLabs[[#This Row],[UnitPrice]]</f>
        <v>734.68</v>
      </c>
    </row>
    <row r="1001" spans="1:16" hidden="1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9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>
        <f t="shared" si="15"/>
        <v>5</v>
      </c>
      <c r="M1001" t="s">
        <v>4276</v>
      </c>
      <c r="N1001" t="s">
        <v>4282</v>
      </c>
      <c r="O1001" s="11">
        <v>483.38</v>
      </c>
      <c r="P1001" s="9">
        <f>DecodeLabs[[#This Row],[Abandoned Cart]]*DecodeLabs[[#This Row],[UnitPrice]]</f>
        <v>2416.9</v>
      </c>
    </row>
    <row r="1002" spans="1:16" hidden="1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9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>
        <f t="shared" si="15"/>
        <v>4</v>
      </c>
      <c r="M1002" t="s">
        <v>4275</v>
      </c>
      <c r="N1002" t="s">
        <v>4280</v>
      </c>
      <c r="O1002" s="11">
        <v>1304.6500000000001</v>
      </c>
      <c r="P1002" s="9">
        <f>DecodeLabs[[#This Row],[Abandoned Cart]]*DecodeLabs[[#This Row],[UnitPrice]]</f>
        <v>1043.72</v>
      </c>
    </row>
    <row r="1003" spans="1:16" hidden="1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9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>
        <f t="shared" si="15"/>
        <v>4</v>
      </c>
      <c r="M1003" t="s">
        <v>4283</v>
      </c>
      <c r="N1003" t="s">
        <v>4279</v>
      </c>
      <c r="O1003" s="11">
        <v>507.36</v>
      </c>
      <c r="P1003" s="9">
        <f>DecodeLabs[[#This Row],[Abandoned Cart]]*DecodeLabs[[#This Row],[UnitPrice]]</f>
        <v>1014.72</v>
      </c>
    </row>
    <row r="1004" spans="1:16" hidden="1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9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>
        <f t="shared" si="15"/>
        <v>1</v>
      </c>
      <c r="M1004" t="s">
        <v>4277</v>
      </c>
      <c r="N1004" t="s">
        <v>4279</v>
      </c>
      <c r="O1004" s="11">
        <v>2799.52</v>
      </c>
      <c r="P1004" s="9">
        <f>DecodeLabs[[#This Row],[Abandoned Cart]]*DecodeLabs[[#This Row],[UnitPrice]]</f>
        <v>699.88</v>
      </c>
    </row>
    <row r="1005" spans="1:16" hidden="1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9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>
        <f t="shared" si="15"/>
        <v>2</v>
      </c>
      <c r="M1005" t="s">
        <v>4275</v>
      </c>
      <c r="N1005" t="s">
        <v>4282</v>
      </c>
      <c r="O1005" s="11">
        <v>1599.85</v>
      </c>
      <c r="P1005" s="9">
        <f>DecodeLabs[[#This Row],[Abandoned Cart]]*DecodeLabs[[#This Row],[UnitPrice]]</f>
        <v>639.94000000000005</v>
      </c>
    </row>
    <row r="1006" spans="1:16" hidden="1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9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>
        <f t="shared" si="15"/>
        <v>4</v>
      </c>
      <c r="M1006" t="s">
        <v>4275</v>
      </c>
      <c r="N1006" t="s">
        <v>4279</v>
      </c>
      <c r="O1006" s="11">
        <v>987.64</v>
      </c>
      <c r="P1006" s="9">
        <f>DecodeLabs[[#This Row],[Abandoned Cart]]*DecodeLabs[[#This Row],[UnitPrice]]</f>
        <v>987.64</v>
      </c>
    </row>
    <row r="1007" spans="1:16" hidden="1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9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>
        <f t="shared" si="15"/>
        <v>3</v>
      </c>
      <c r="M1007" t="s">
        <v>4283</v>
      </c>
      <c r="N1007" t="s">
        <v>4282</v>
      </c>
      <c r="O1007" s="11">
        <v>1178.55</v>
      </c>
      <c r="P1007" s="9">
        <f>DecodeLabs[[#This Row],[Abandoned Cart]]*DecodeLabs[[#This Row],[UnitPrice]]</f>
        <v>1178.5500000000002</v>
      </c>
    </row>
    <row r="1008" spans="1:16" hidden="1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9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>
        <f t="shared" si="15"/>
        <v>2</v>
      </c>
      <c r="M1008" t="s">
        <v>4275</v>
      </c>
      <c r="N1008" t="s">
        <v>4281</v>
      </c>
      <c r="O1008" s="11">
        <v>2104.9</v>
      </c>
      <c r="P1008" s="9">
        <f>DecodeLabs[[#This Row],[Abandoned Cart]]*DecodeLabs[[#This Row],[UnitPrice]]</f>
        <v>841.96</v>
      </c>
    </row>
    <row r="1009" spans="1:16" hidden="1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>
        <f t="shared" si="15"/>
        <v>2</v>
      </c>
      <c r="M1009" t="s">
        <v>4277</v>
      </c>
      <c r="N1009" t="s">
        <v>4281</v>
      </c>
      <c r="O1009" s="11">
        <v>146.52000000000001</v>
      </c>
      <c r="P1009" s="9">
        <f>DecodeLabs[[#This Row],[Abandoned Cart]]*DecodeLabs[[#This Row],[UnitPrice]]</f>
        <v>146.52000000000001</v>
      </c>
    </row>
    <row r="1010" spans="1:16" hidden="1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9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>
        <f t="shared" si="15"/>
        <v>5</v>
      </c>
      <c r="M1010" t="s">
        <v>4276</v>
      </c>
      <c r="N1010" t="s">
        <v>4278</v>
      </c>
      <c r="O1010" s="11">
        <v>1232.6400000000001</v>
      </c>
      <c r="P1010" s="9">
        <f>DecodeLabs[[#This Row],[Abandoned Cart]]*DecodeLabs[[#This Row],[UnitPrice]]</f>
        <v>2054.4</v>
      </c>
    </row>
    <row r="1011" spans="1:16" hidden="1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9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>
        <f t="shared" si="15"/>
        <v>0</v>
      </c>
      <c r="M1011" t="s">
        <v>4276</v>
      </c>
      <c r="N1011" t="s">
        <v>4280</v>
      </c>
      <c r="O1011" s="11">
        <v>352.92</v>
      </c>
      <c r="P1011" s="9">
        <f>DecodeLabs[[#This Row],[Abandoned Cart]]*DecodeLabs[[#This Row],[UnitPrice]]</f>
        <v>0</v>
      </c>
    </row>
    <row r="1012" spans="1:16" hidden="1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9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>
        <f t="shared" si="15"/>
        <v>3</v>
      </c>
      <c r="M1012" t="s">
        <v>4275</v>
      </c>
      <c r="N1012" t="s">
        <v>4280</v>
      </c>
      <c r="O1012" s="11">
        <v>1978.71</v>
      </c>
      <c r="P1012" s="9">
        <f>DecodeLabs[[#This Row],[Abandoned Cart]]*DecodeLabs[[#This Row],[UnitPrice]]</f>
        <v>1978.71</v>
      </c>
    </row>
    <row r="1013" spans="1:16" hidden="1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9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>
        <f t="shared" si="15"/>
        <v>1</v>
      </c>
      <c r="M1013" t="s">
        <v>4283</v>
      </c>
      <c r="N1013" t="s">
        <v>4282</v>
      </c>
      <c r="O1013" s="11">
        <v>956.72</v>
      </c>
      <c r="P1013" s="9">
        <f>DecodeLabs[[#This Row],[Abandoned Cart]]*DecodeLabs[[#This Row],[UnitPrice]]</f>
        <v>478.36</v>
      </c>
    </row>
    <row r="1014" spans="1:16" hidden="1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9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>
        <f t="shared" si="15"/>
        <v>2</v>
      </c>
      <c r="M1014" t="s">
        <v>4283</v>
      </c>
      <c r="N1014" t="s">
        <v>4281</v>
      </c>
      <c r="O1014" s="11">
        <v>120.2</v>
      </c>
      <c r="P1014" s="9">
        <f>DecodeLabs[[#This Row],[Abandoned Cart]]*DecodeLabs[[#This Row],[UnitPrice]]</f>
        <v>60.1</v>
      </c>
    </row>
    <row r="1015" spans="1:16" hidden="1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9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>
        <f t="shared" si="15"/>
        <v>5</v>
      </c>
      <c r="M1015" t="s">
        <v>4276</v>
      </c>
      <c r="N1015" t="s">
        <v>4281</v>
      </c>
      <c r="O1015" s="11">
        <v>1202.24</v>
      </c>
      <c r="P1015" s="9">
        <f>DecodeLabs[[#This Row],[Abandoned Cart]]*DecodeLabs[[#This Row],[UnitPrice]]</f>
        <v>1502.8</v>
      </c>
    </row>
    <row r="1016" spans="1:16" hidden="1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9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>
        <f t="shared" si="15"/>
        <v>1</v>
      </c>
      <c r="M1016" t="s">
        <v>4276</v>
      </c>
      <c r="N1016" t="s">
        <v>4280</v>
      </c>
      <c r="O1016" s="11">
        <v>1132.25</v>
      </c>
      <c r="P1016" s="9">
        <f>DecodeLabs[[#This Row],[Abandoned Cart]]*DecodeLabs[[#This Row],[UnitPrice]]</f>
        <v>226.45</v>
      </c>
    </row>
    <row r="1017" spans="1:16" hidden="1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9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>
        <f t="shared" si="15"/>
        <v>0</v>
      </c>
      <c r="M1017" t="s">
        <v>4275</v>
      </c>
      <c r="N1017" t="s">
        <v>4278</v>
      </c>
      <c r="O1017" s="11">
        <v>698.8</v>
      </c>
      <c r="P1017" s="9">
        <f>DecodeLabs[[#This Row],[Abandoned Cart]]*DecodeLabs[[#This Row],[UnitPrice]]</f>
        <v>0</v>
      </c>
    </row>
    <row r="1018" spans="1:16" hidden="1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9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>
        <f t="shared" si="15"/>
        <v>2</v>
      </c>
      <c r="M1018" t="s">
        <v>4277</v>
      </c>
      <c r="N1018" t="s">
        <v>4280</v>
      </c>
      <c r="O1018" s="11">
        <v>1343.9</v>
      </c>
      <c r="P1018" s="9">
        <f>DecodeLabs[[#This Row],[Abandoned Cart]]*DecodeLabs[[#This Row],[UnitPrice]]</f>
        <v>537.55999999999995</v>
      </c>
    </row>
    <row r="1019" spans="1:16" hidden="1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>
        <f t="shared" si="15"/>
        <v>4</v>
      </c>
      <c r="M1019" t="s">
        <v>4276</v>
      </c>
      <c r="N1019" t="s">
        <v>4279</v>
      </c>
      <c r="O1019" s="11">
        <v>1361.7</v>
      </c>
      <c r="P1019" s="9">
        <f>DecodeLabs[[#This Row],[Abandoned Cart]]*DecodeLabs[[#This Row],[UnitPrice]]</f>
        <v>2723.4</v>
      </c>
    </row>
    <row r="1020" spans="1:16" hidden="1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9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>
        <f t="shared" si="15"/>
        <v>0</v>
      </c>
      <c r="M1020" t="s">
        <v>4283</v>
      </c>
      <c r="N1020" t="s">
        <v>4278</v>
      </c>
      <c r="O1020" s="11">
        <v>547.43999999999994</v>
      </c>
      <c r="P1020" s="9">
        <f>DecodeLabs[[#This Row],[Abandoned Cart]]*DecodeLabs[[#This Row],[UnitPrice]]</f>
        <v>0</v>
      </c>
    </row>
    <row r="1021" spans="1:16" hidden="1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9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>
        <f t="shared" si="15"/>
        <v>1</v>
      </c>
      <c r="M1021" t="s">
        <v>4275</v>
      </c>
      <c r="N1021" t="s">
        <v>4279</v>
      </c>
      <c r="O1021" s="11">
        <v>277.08999999999997</v>
      </c>
      <c r="P1021" s="9">
        <f>DecodeLabs[[#This Row],[Abandoned Cart]]*DecodeLabs[[#This Row],[UnitPrice]]</f>
        <v>277.08999999999997</v>
      </c>
    </row>
    <row r="1022" spans="1:16" hidden="1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9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>
        <f t="shared" si="15"/>
        <v>1</v>
      </c>
      <c r="M1022" t="s">
        <v>4275</v>
      </c>
      <c r="N1022" t="s">
        <v>4278</v>
      </c>
      <c r="O1022" s="11">
        <v>53</v>
      </c>
      <c r="P1022" s="9">
        <f>DecodeLabs[[#This Row],[Abandoned Cart]]*DecodeLabs[[#This Row],[UnitPrice]]</f>
        <v>26.5</v>
      </c>
    </row>
    <row r="1023" spans="1:16" hidden="1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9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>
        <f t="shared" si="15"/>
        <v>1</v>
      </c>
      <c r="M1023" t="s">
        <v>4275</v>
      </c>
      <c r="N1023" t="s">
        <v>4280</v>
      </c>
      <c r="O1023" s="11">
        <v>945.81</v>
      </c>
      <c r="P1023" s="9">
        <f>DecodeLabs[[#This Row],[Abandoned Cart]]*DecodeLabs[[#This Row],[UnitPrice]]</f>
        <v>315.27</v>
      </c>
    </row>
    <row r="1024" spans="1:16" hidden="1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9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>
        <f t="shared" si="15"/>
        <v>5</v>
      </c>
      <c r="M1024" t="s">
        <v>4275</v>
      </c>
      <c r="N1024" t="s">
        <v>4279</v>
      </c>
      <c r="O1024" s="11">
        <v>1352.94</v>
      </c>
      <c r="P1024" s="9">
        <f>DecodeLabs[[#This Row],[Abandoned Cart]]*DecodeLabs[[#This Row],[UnitPrice]]</f>
        <v>2254.9</v>
      </c>
    </row>
    <row r="1025" spans="1:16" hidden="1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9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>
        <f t="shared" si="15"/>
        <v>5</v>
      </c>
      <c r="M1025" t="s">
        <v>4283</v>
      </c>
      <c r="N1025" t="s">
        <v>4279</v>
      </c>
      <c r="O1025" s="11">
        <v>1168.3499999999999</v>
      </c>
      <c r="P1025" s="9">
        <f>DecodeLabs[[#This Row],[Abandoned Cart]]*DecodeLabs[[#This Row],[UnitPrice]]</f>
        <v>1168.3499999999999</v>
      </c>
    </row>
    <row r="1026" spans="1:16" hidden="1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9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>
        <f t="shared" ref="L1026:L1089" si="16">K1026-E1026</f>
        <v>4</v>
      </c>
      <c r="M1026" t="s">
        <v>4276</v>
      </c>
      <c r="N1026" t="s">
        <v>4281</v>
      </c>
      <c r="O1026" s="11">
        <v>1103.25</v>
      </c>
      <c r="P1026" s="9">
        <f>DecodeLabs[[#This Row],[Abandoned Cart]]*DecodeLabs[[#This Row],[UnitPrice]]</f>
        <v>1471</v>
      </c>
    </row>
    <row r="1027" spans="1:16" hidden="1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9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>
        <f t="shared" si="16"/>
        <v>1</v>
      </c>
      <c r="M1027" t="s">
        <v>4276</v>
      </c>
      <c r="N1027" t="s">
        <v>4278</v>
      </c>
      <c r="O1027" s="11">
        <v>23.53</v>
      </c>
      <c r="P1027" s="9">
        <f>DecodeLabs[[#This Row],[Abandoned Cart]]*DecodeLabs[[#This Row],[UnitPrice]]</f>
        <v>23.53</v>
      </c>
    </row>
    <row r="1028" spans="1:16" hidden="1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9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>
        <f t="shared" si="16"/>
        <v>0</v>
      </c>
      <c r="M1028" t="s">
        <v>4277</v>
      </c>
      <c r="N1028" t="s">
        <v>4281</v>
      </c>
      <c r="O1028" s="11">
        <v>677.48</v>
      </c>
      <c r="P1028" s="9">
        <f>DecodeLabs[[#This Row],[Abandoned Cart]]*DecodeLabs[[#This Row],[UnitPrice]]</f>
        <v>0</v>
      </c>
    </row>
    <row r="1029" spans="1:16" hidden="1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>
        <f t="shared" si="16"/>
        <v>2</v>
      </c>
      <c r="M1029" t="s">
        <v>4283</v>
      </c>
      <c r="N1029" t="s">
        <v>4282</v>
      </c>
      <c r="O1029" s="11">
        <v>2219.3200000000002</v>
      </c>
      <c r="P1029" s="9">
        <f>DecodeLabs[[#This Row],[Abandoned Cart]]*DecodeLabs[[#This Row],[UnitPrice]]</f>
        <v>1109.6600000000001</v>
      </c>
    </row>
    <row r="1030" spans="1:16" hidden="1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9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>
        <f t="shared" si="16"/>
        <v>2</v>
      </c>
      <c r="M1030" t="s">
        <v>4283</v>
      </c>
      <c r="N1030" t="s">
        <v>4278</v>
      </c>
      <c r="O1030" s="11">
        <v>1761.24</v>
      </c>
      <c r="P1030" s="9">
        <f>DecodeLabs[[#This Row],[Abandoned Cart]]*DecodeLabs[[#This Row],[UnitPrice]]</f>
        <v>880.62</v>
      </c>
    </row>
    <row r="1031" spans="1:16" hidden="1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9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>
        <f t="shared" si="16"/>
        <v>3</v>
      </c>
      <c r="M1031" t="s">
        <v>4276</v>
      </c>
      <c r="N1031" t="s">
        <v>4280</v>
      </c>
      <c r="O1031" s="11">
        <v>87.06</v>
      </c>
      <c r="P1031" s="9">
        <f>DecodeLabs[[#This Row],[Abandoned Cart]]*DecodeLabs[[#This Row],[UnitPrice]]</f>
        <v>261.18</v>
      </c>
    </row>
    <row r="1032" spans="1:16" hidden="1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9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>
        <f t="shared" si="16"/>
        <v>2</v>
      </c>
      <c r="M1032" t="s">
        <v>4277</v>
      </c>
      <c r="N1032" t="s">
        <v>4280</v>
      </c>
      <c r="O1032" s="11">
        <v>981.12</v>
      </c>
      <c r="P1032" s="9">
        <f>DecodeLabs[[#This Row],[Abandoned Cart]]*DecodeLabs[[#This Row],[UnitPrice]]</f>
        <v>490.56</v>
      </c>
    </row>
    <row r="1033" spans="1:16" hidden="1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9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>
        <f t="shared" si="16"/>
        <v>3</v>
      </c>
      <c r="M1033" t="s">
        <v>4275</v>
      </c>
      <c r="N1033" t="s">
        <v>4280</v>
      </c>
      <c r="O1033" s="11">
        <v>3322.55</v>
      </c>
      <c r="P1033" s="9">
        <f>DecodeLabs[[#This Row],[Abandoned Cart]]*DecodeLabs[[#This Row],[UnitPrice]]</f>
        <v>1993.53</v>
      </c>
    </row>
    <row r="1034" spans="1:16" hidden="1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9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>
        <f t="shared" si="16"/>
        <v>5</v>
      </c>
      <c r="M1034" t="s">
        <v>4277</v>
      </c>
      <c r="N1034" t="s">
        <v>4279</v>
      </c>
      <c r="O1034" s="11">
        <v>618.67999999999995</v>
      </c>
      <c r="P1034" s="9">
        <f>DecodeLabs[[#This Row],[Abandoned Cart]]*DecodeLabs[[#This Row],[UnitPrice]]</f>
        <v>3093.3999999999996</v>
      </c>
    </row>
    <row r="1035" spans="1:16" hidden="1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9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>
        <f t="shared" si="16"/>
        <v>1</v>
      </c>
      <c r="M1035" t="s">
        <v>4276</v>
      </c>
      <c r="N1035" t="s">
        <v>4279</v>
      </c>
      <c r="O1035" s="11">
        <v>370.85</v>
      </c>
      <c r="P1035" s="9">
        <f>DecodeLabs[[#This Row],[Abandoned Cart]]*DecodeLabs[[#This Row],[UnitPrice]]</f>
        <v>370.85</v>
      </c>
    </row>
    <row r="1036" spans="1:16" hidden="1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9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>
        <f t="shared" si="16"/>
        <v>4</v>
      </c>
      <c r="M1036" t="s">
        <v>4276</v>
      </c>
      <c r="N1036" t="s">
        <v>4281</v>
      </c>
      <c r="O1036" s="11">
        <v>2071.92</v>
      </c>
      <c r="P1036" s="9">
        <f>DecodeLabs[[#This Row],[Abandoned Cart]]*DecodeLabs[[#This Row],[UnitPrice]]</f>
        <v>2071.92</v>
      </c>
    </row>
    <row r="1037" spans="1:16" hidden="1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9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>
        <f t="shared" si="16"/>
        <v>1</v>
      </c>
      <c r="M1037" t="s">
        <v>4283</v>
      </c>
      <c r="N1037" t="s">
        <v>4279</v>
      </c>
      <c r="O1037" s="11">
        <v>2024.44</v>
      </c>
      <c r="P1037" s="9">
        <f>DecodeLabs[[#This Row],[Abandoned Cart]]*DecodeLabs[[#This Row],[UnitPrice]]</f>
        <v>506.11</v>
      </c>
    </row>
    <row r="1038" spans="1:16" hidden="1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9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>
        <f t="shared" si="16"/>
        <v>5</v>
      </c>
      <c r="M1038" t="s">
        <v>4275</v>
      </c>
      <c r="N1038" t="s">
        <v>4281</v>
      </c>
      <c r="O1038" s="11">
        <v>1241.49</v>
      </c>
      <c r="P1038" s="9">
        <f>DecodeLabs[[#This Row],[Abandoned Cart]]*DecodeLabs[[#This Row],[UnitPrice]]</f>
        <v>2069.15</v>
      </c>
    </row>
    <row r="1039" spans="1:16" hidden="1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>
        <f t="shared" si="16"/>
        <v>0</v>
      </c>
      <c r="M1039" t="s">
        <v>4275</v>
      </c>
      <c r="N1039" t="s">
        <v>4282</v>
      </c>
      <c r="O1039" s="11">
        <v>249.81</v>
      </c>
      <c r="P1039" s="9">
        <f>DecodeLabs[[#This Row],[Abandoned Cart]]*DecodeLabs[[#This Row],[UnitPrice]]</f>
        <v>0</v>
      </c>
    </row>
    <row r="1040" spans="1:16" hidden="1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9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>
        <f t="shared" si="16"/>
        <v>2</v>
      </c>
      <c r="M1040" t="s">
        <v>4283</v>
      </c>
      <c r="N1040" t="s">
        <v>4281</v>
      </c>
      <c r="O1040" s="11">
        <v>1087.5899999999999</v>
      </c>
      <c r="P1040" s="9">
        <f>DecodeLabs[[#This Row],[Abandoned Cart]]*DecodeLabs[[#This Row],[UnitPrice]]</f>
        <v>725.06</v>
      </c>
    </row>
    <row r="1041" spans="1:16" hidden="1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9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>
        <f t="shared" si="16"/>
        <v>0</v>
      </c>
      <c r="M1041" t="s">
        <v>4277</v>
      </c>
      <c r="N1041" t="s">
        <v>4278</v>
      </c>
      <c r="O1041" s="11">
        <v>598.46</v>
      </c>
      <c r="P1041" s="9">
        <f>DecodeLabs[[#This Row],[Abandoned Cart]]*DecodeLabs[[#This Row],[UnitPrice]]</f>
        <v>0</v>
      </c>
    </row>
    <row r="1042" spans="1:16" hidden="1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9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>
        <f t="shared" si="16"/>
        <v>4</v>
      </c>
      <c r="M1042" t="s">
        <v>4276</v>
      </c>
      <c r="N1042" t="s">
        <v>4282</v>
      </c>
      <c r="O1042" s="11">
        <v>536.07000000000005</v>
      </c>
      <c r="P1042" s="9">
        <f>DecodeLabs[[#This Row],[Abandoned Cart]]*DecodeLabs[[#This Row],[UnitPrice]]</f>
        <v>2144.2800000000002</v>
      </c>
    </row>
    <row r="1043" spans="1:16" hidden="1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9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>
        <f t="shared" si="16"/>
        <v>5</v>
      </c>
      <c r="M1043" t="s">
        <v>4277</v>
      </c>
      <c r="N1043" t="s">
        <v>4282</v>
      </c>
      <c r="O1043" s="11">
        <v>2235.6</v>
      </c>
      <c r="P1043" s="9">
        <f>DecodeLabs[[#This Row],[Abandoned Cart]]*DecodeLabs[[#This Row],[UnitPrice]]</f>
        <v>2794.5</v>
      </c>
    </row>
    <row r="1044" spans="1:16" hidden="1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9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>
        <f t="shared" si="16"/>
        <v>0</v>
      </c>
      <c r="M1044" t="s">
        <v>4277</v>
      </c>
      <c r="N1044" t="s">
        <v>4281</v>
      </c>
      <c r="O1044" s="11">
        <v>819.5</v>
      </c>
      <c r="P1044" s="9">
        <f>DecodeLabs[[#This Row],[Abandoned Cart]]*DecodeLabs[[#This Row],[UnitPrice]]</f>
        <v>0</v>
      </c>
    </row>
    <row r="1045" spans="1:16" hidden="1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9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>
        <f t="shared" si="16"/>
        <v>3</v>
      </c>
      <c r="M1045" t="s">
        <v>4283</v>
      </c>
      <c r="N1045" t="s">
        <v>4278</v>
      </c>
      <c r="O1045" s="11">
        <v>359.92</v>
      </c>
      <c r="P1045" s="9">
        <f>DecodeLabs[[#This Row],[Abandoned Cart]]*DecodeLabs[[#This Row],[UnitPrice]]</f>
        <v>539.88</v>
      </c>
    </row>
    <row r="1046" spans="1:16" hidden="1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9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>
        <f t="shared" si="16"/>
        <v>3</v>
      </c>
      <c r="M1046" t="s">
        <v>4276</v>
      </c>
      <c r="N1046" t="s">
        <v>4279</v>
      </c>
      <c r="O1046" s="11">
        <v>38.49</v>
      </c>
      <c r="P1046" s="9">
        <f>DecodeLabs[[#This Row],[Abandoned Cart]]*DecodeLabs[[#This Row],[UnitPrice]]</f>
        <v>115.47</v>
      </c>
    </row>
    <row r="1047" spans="1:16" hidden="1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9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>
        <f t="shared" si="16"/>
        <v>2</v>
      </c>
      <c r="M1047" t="s">
        <v>4283</v>
      </c>
      <c r="N1047" t="s">
        <v>4280</v>
      </c>
      <c r="O1047" s="11">
        <v>1582</v>
      </c>
      <c r="P1047" s="9">
        <f>DecodeLabs[[#This Row],[Abandoned Cart]]*DecodeLabs[[#This Row],[UnitPrice]]</f>
        <v>632.79999999999995</v>
      </c>
    </row>
    <row r="1048" spans="1:16" hidden="1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9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>
        <f t="shared" si="16"/>
        <v>1</v>
      </c>
      <c r="M1048" t="s">
        <v>4277</v>
      </c>
      <c r="N1048" t="s">
        <v>4278</v>
      </c>
      <c r="O1048" s="11">
        <v>1641.45</v>
      </c>
      <c r="P1048" s="9">
        <f>DecodeLabs[[#This Row],[Abandoned Cart]]*DecodeLabs[[#This Row],[UnitPrice]]</f>
        <v>547.15</v>
      </c>
    </row>
    <row r="1049" spans="1:16" hidden="1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>
        <f t="shared" si="16"/>
        <v>2</v>
      </c>
      <c r="M1049" t="s">
        <v>4277</v>
      </c>
      <c r="N1049" t="s">
        <v>4279</v>
      </c>
      <c r="O1049" s="11">
        <v>2161.36</v>
      </c>
      <c r="P1049" s="9">
        <f>DecodeLabs[[#This Row],[Abandoned Cart]]*DecodeLabs[[#This Row],[UnitPrice]]</f>
        <v>1080.68</v>
      </c>
    </row>
    <row r="1050" spans="1:16" hidden="1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9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>
        <f t="shared" si="16"/>
        <v>5</v>
      </c>
      <c r="M1050" t="s">
        <v>4283</v>
      </c>
      <c r="N1050" t="s">
        <v>4282</v>
      </c>
      <c r="O1050" s="11">
        <v>294.60000000000002</v>
      </c>
      <c r="P1050" s="9">
        <f>DecodeLabs[[#This Row],[Abandoned Cart]]*DecodeLabs[[#This Row],[UnitPrice]]</f>
        <v>368.25</v>
      </c>
    </row>
    <row r="1051" spans="1:16" hidden="1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9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>
        <f t="shared" si="16"/>
        <v>1</v>
      </c>
      <c r="M1051" t="s">
        <v>4283</v>
      </c>
      <c r="N1051" t="s">
        <v>4278</v>
      </c>
      <c r="O1051" s="11">
        <v>1959.3</v>
      </c>
      <c r="P1051" s="9">
        <f>DecodeLabs[[#This Row],[Abandoned Cart]]*DecodeLabs[[#This Row],[UnitPrice]]</f>
        <v>391.86</v>
      </c>
    </row>
    <row r="1052" spans="1:16" hidden="1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9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>
        <f t="shared" si="16"/>
        <v>4</v>
      </c>
      <c r="M1052" t="s">
        <v>4283</v>
      </c>
      <c r="N1052" t="s">
        <v>4278</v>
      </c>
      <c r="O1052" s="11">
        <v>348.5</v>
      </c>
      <c r="P1052" s="9">
        <f>DecodeLabs[[#This Row],[Abandoned Cart]]*DecodeLabs[[#This Row],[UnitPrice]]</f>
        <v>278.8</v>
      </c>
    </row>
    <row r="1053" spans="1:16" hidden="1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9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>
        <f t="shared" si="16"/>
        <v>0</v>
      </c>
      <c r="M1053" t="s">
        <v>4276</v>
      </c>
      <c r="N1053" t="s">
        <v>4281</v>
      </c>
      <c r="O1053" s="11">
        <v>132.15</v>
      </c>
      <c r="P1053" s="9">
        <f>DecodeLabs[[#This Row],[Abandoned Cart]]*DecodeLabs[[#This Row],[UnitPrice]]</f>
        <v>0</v>
      </c>
    </row>
    <row r="1054" spans="1:16" hidden="1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9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>
        <f t="shared" si="16"/>
        <v>0</v>
      </c>
      <c r="M1054" t="s">
        <v>4277</v>
      </c>
      <c r="N1054" t="s">
        <v>4282</v>
      </c>
      <c r="O1054" s="11">
        <v>531.74</v>
      </c>
      <c r="P1054" s="9">
        <f>DecodeLabs[[#This Row],[Abandoned Cart]]*DecodeLabs[[#This Row],[UnitPrice]]</f>
        <v>0</v>
      </c>
    </row>
    <row r="1055" spans="1:16" hidden="1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9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>
        <f t="shared" si="16"/>
        <v>0</v>
      </c>
      <c r="M1055" t="s">
        <v>4275</v>
      </c>
      <c r="N1055" t="s">
        <v>4278</v>
      </c>
      <c r="O1055" s="11">
        <v>993.24</v>
      </c>
      <c r="P1055" s="9">
        <f>DecodeLabs[[#This Row],[Abandoned Cart]]*DecodeLabs[[#This Row],[UnitPrice]]</f>
        <v>0</v>
      </c>
    </row>
    <row r="1056" spans="1:16" hidden="1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9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>
        <f t="shared" si="16"/>
        <v>2</v>
      </c>
      <c r="M1056" t="s">
        <v>4277</v>
      </c>
      <c r="N1056" t="s">
        <v>4278</v>
      </c>
      <c r="O1056" s="11">
        <v>660.66</v>
      </c>
      <c r="P1056" s="9">
        <f>DecodeLabs[[#This Row],[Abandoned Cart]]*DecodeLabs[[#This Row],[UnitPrice]]</f>
        <v>1321.32</v>
      </c>
    </row>
    <row r="1057" spans="1:16" hidden="1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9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>
        <f t="shared" si="16"/>
        <v>5</v>
      </c>
      <c r="M1057" t="s">
        <v>4277</v>
      </c>
      <c r="N1057" t="s">
        <v>4280</v>
      </c>
      <c r="O1057" s="11">
        <v>1099.28</v>
      </c>
      <c r="P1057" s="9">
        <f>DecodeLabs[[#This Row],[Abandoned Cart]]*DecodeLabs[[#This Row],[UnitPrice]]</f>
        <v>1374.1</v>
      </c>
    </row>
    <row r="1058" spans="1:16" hidden="1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9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>
        <f t="shared" si="16"/>
        <v>4</v>
      </c>
      <c r="M1058" t="s">
        <v>4275</v>
      </c>
      <c r="N1058" t="s">
        <v>4279</v>
      </c>
      <c r="O1058" s="11">
        <v>972.7</v>
      </c>
      <c r="P1058" s="9">
        <f>DecodeLabs[[#This Row],[Abandoned Cart]]*DecodeLabs[[#This Row],[UnitPrice]]</f>
        <v>1945.4</v>
      </c>
    </row>
    <row r="1059" spans="1:16" hidden="1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>
        <f t="shared" si="16"/>
        <v>0</v>
      </c>
      <c r="M1059" t="s">
        <v>4277</v>
      </c>
      <c r="N1059" t="s">
        <v>4281</v>
      </c>
      <c r="O1059" s="11">
        <v>1286.6400000000001</v>
      </c>
      <c r="P1059" s="9">
        <f>DecodeLabs[[#This Row],[Abandoned Cart]]*DecodeLabs[[#This Row],[UnitPrice]]</f>
        <v>0</v>
      </c>
    </row>
    <row r="1060" spans="1:16" hidden="1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9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>
        <f t="shared" si="16"/>
        <v>0</v>
      </c>
      <c r="M1060" t="s">
        <v>4276</v>
      </c>
      <c r="N1060" t="s">
        <v>4278</v>
      </c>
      <c r="O1060" s="11">
        <v>824.28</v>
      </c>
      <c r="P1060" s="9">
        <f>DecodeLabs[[#This Row],[Abandoned Cart]]*DecodeLabs[[#This Row],[UnitPrice]]</f>
        <v>0</v>
      </c>
    </row>
    <row r="1061" spans="1:16" hidden="1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9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>
        <f t="shared" si="16"/>
        <v>2</v>
      </c>
      <c r="M1061" t="s">
        <v>4277</v>
      </c>
      <c r="N1061" t="s">
        <v>4278</v>
      </c>
      <c r="O1061" s="11">
        <v>265.64</v>
      </c>
      <c r="P1061" s="9">
        <f>DecodeLabs[[#This Row],[Abandoned Cart]]*DecodeLabs[[#This Row],[UnitPrice]]</f>
        <v>531.28</v>
      </c>
    </row>
    <row r="1062" spans="1:16" hidden="1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9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>
        <f t="shared" si="16"/>
        <v>5</v>
      </c>
      <c r="M1062" t="s">
        <v>4277</v>
      </c>
      <c r="N1062" t="s">
        <v>4279</v>
      </c>
      <c r="O1062" s="11">
        <v>546.86</v>
      </c>
      <c r="P1062" s="9">
        <f>DecodeLabs[[#This Row],[Abandoned Cart]]*DecodeLabs[[#This Row],[UnitPrice]]</f>
        <v>1367.15</v>
      </c>
    </row>
    <row r="1063" spans="1:16" hidden="1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9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>
        <f t="shared" si="16"/>
        <v>3</v>
      </c>
      <c r="M1063" t="s">
        <v>4276</v>
      </c>
      <c r="N1063" t="s">
        <v>4282</v>
      </c>
      <c r="O1063" s="11">
        <v>658.5</v>
      </c>
      <c r="P1063" s="9">
        <f>DecodeLabs[[#This Row],[Abandoned Cart]]*DecodeLabs[[#This Row],[UnitPrice]]</f>
        <v>395.09999999999997</v>
      </c>
    </row>
    <row r="1064" spans="1:16" hidden="1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9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>
        <f t="shared" si="16"/>
        <v>0</v>
      </c>
      <c r="M1064" t="s">
        <v>4283</v>
      </c>
      <c r="N1064" t="s">
        <v>4281</v>
      </c>
      <c r="O1064" s="11">
        <v>427.6</v>
      </c>
      <c r="P1064" s="9">
        <f>DecodeLabs[[#This Row],[Abandoned Cart]]*DecodeLabs[[#This Row],[UnitPrice]]</f>
        <v>0</v>
      </c>
    </row>
    <row r="1065" spans="1:16" hidden="1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9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>
        <f t="shared" si="16"/>
        <v>3</v>
      </c>
      <c r="M1065" t="s">
        <v>4276</v>
      </c>
      <c r="N1065" t="s">
        <v>4279</v>
      </c>
      <c r="O1065" s="11">
        <v>641.36</v>
      </c>
      <c r="P1065" s="9">
        <f>DecodeLabs[[#This Row],[Abandoned Cart]]*DecodeLabs[[#This Row],[UnitPrice]]</f>
        <v>962.04</v>
      </c>
    </row>
    <row r="1066" spans="1:16" hidden="1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9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>
        <f t="shared" si="16"/>
        <v>5</v>
      </c>
      <c r="M1066" t="s">
        <v>4276</v>
      </c>
      <c r="N1066" t="s">
        <v>4279</v>
      </c>
      <c r="O1066" s="11">
        <v>795.24</v>
      </c>
      <c r="P1066" s="9">
        <f>DecodeLabs[[#This Row],[Abandoned Cart]]*DecodeLabs[[#This Row],[UnitPrice]]</f>
        <v>994.05</v>
      </c>
    </row>
    <row r="1067" spans="1:16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9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>
        <f t="shared" si="16"/>
        <v>2</v>
      </c>
      <c r="M1067" t="s">
        <v>4275</v>
      </c>
      <c r="N1067" t="s">
        <v>4279</v>
      </c>
      <c r="O1067" s="11">
        <v>3334</v>
      </c>
      <c r="P1067" s="9">
        <f>DecodeLabs[[#This Row],[Abandoned Cart]]*DecodeLabs[[#This Row],[UnitPrice]]</f>
        <v>1333.6</v>
      </c>
    </row>
    <row r="1068" spans="1:16" hidden="1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9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>
        <f t="shared" si="16"/>
        <v>4</v>
      </c>
      <c r="M1068" t="s">
        <v>4275</v>
      </c>
      <c r="N1068" t="s">
        <v>4278</v>
      </c>
      <c r="O1068" s="11">
        <v>355.09</v>
      </c>
      <c r="P1068" s="9">
        <f>DecodeLabs[[#This Row],[Abandoned Cart]]*DecodeLabs[[#This Row],[UnitPrice]]</f>
        <v>1420.36</v>
      </c>
    </row>
    <row r="1069" spans="1:16" hidden="1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>
        <f t="shared" si="16"/>
        <v>0</v>
      </c>
      <c r="M1069" t="s">
        <v>4283</v>
      </c>
      <c r="N1069" t="s">
        <v>4278</v>
      </c>
      <c r="O1069" s="11">
        <v>632.4</v>
      </c>
      <c r="P1069" s="9">
        <f>DecodeLabs[[#This Row],[Abandoned Cart]]*DecodeLabs[[#This Row],[UnitPrice]]</f>
        <v>0</v>
      </c>
    </row>
    <row r="1070" spans="1:16" hidden="1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9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>
        <f t="shared" si="16"/>
        <v>1</v>
      </c>
      <c r="M1070" t="s">
        <v>4275</v>
      </c>
      <c r="N1070" t="s">
        <v>4279</v>
      </c>
      <c r="O1070" s="11">
        <v>133.38999999999999</v>
      </c>
      <c r="P1070" s="9">
        <f>DecodeLabs[[#This Row],[Abandoned Cart]]*DecodeLabs[[#This Row],[UnitPrice]]</f>
        <v>133.38999999999999</v>
      </c>
    </row>
    <row r="1071" spans="1:16" hidden="1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9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>
        <f t="shared" si="16"/>
        <v>2</v>
      </c>
      <c r="M1071" t="s">
        <v>4283</v>
      </c>
      <c r="N1071" t="s">
        <v>4281</v>
      </c>
      <c r="O1071" s="11">
        <v>454.23</v>
      </c>
      <c r="P1071" s="9">
        <f>DecodeLabs[[#This Row],[Abandoned Cart]]*DecodeLabs[[#This Row],[UnitPrice]]</f>
        <v>908.46</v>
      </c>
    </row>
    <row r="1072" spans="1:16" hidden="1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9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>
        <f t="shared" si="16"/>
        <v>2</v>
      </c>
      <c r="M1072" t="s">
        <v>4283</v>
      </c>
      <c r="N1072" t="s">
        <v>4280</v>
      </c>
      <c r="O1072" s="11">
        <v>1965.16</v>
      </c>
      <c r="P1072" s="9">
        <f>DecodeLabs[[#This Row],[Abandoned Cart]]*DecodeLabs[[#This Row],[UnitPrice]]</f>
        <v>982.58</v>
      </c>
    </row>
    <row r="1073" spans="1:16" hidden="1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9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>
        <f t="shared" si="16"/>
        <v>0</v>
      </c>
      <c r="M1073" t="s">
        <v>4283</v>
      </c>
      <c r="N1073" t="s">
        <v>4282</v>
      </c>
      <c r="O1073" s="11">
        <v>510.28</v>
      </c>
      <c r="P1073" s="9">
        <f>DecodeLabs[[#This Row],[Abandoned Cart]]*DecodeLabs[[#This Row],[UnitPrice]]</f>
        <v>0</v>
      </c>
    </row>
    <row r="1074" spans="1:16" hidden="1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9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>
        <f t="shared" si="16"/>
        <v>3</v>
      </c>
      <c r="M1074" t="s">
        <v>4275</v>
      </c>
      <c r="N1074" t="s">
        <v>4279</v>
      </c>
      <c r="O1074" s="11">
        <v>392.61</v>
      </c>
      <c r="P1074" s="9">
        <f>DecodeLabs[[#This Row],[Abandoned Cart]]*DecodeLabs[[#This Row],[UnitPrice]]</f>
        <v>1177.83</v>
      </c>
    </row>
    <row r="1075" spans="1:16" hidden="1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9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>
        <f t="shared" si="16"/>
        <v>0</v>
      </c>
      <c r="M1075" t="s">
        <v>4283</v>
      </c>
      <c r="N1075" t="s">
        <v>4281</v>
      </c>
      <c r="O1075" s="11">
        <v>1448.24</v>
      </c>
      <c r="P1075" s="9">
        <f>DecodeLabs[[#This Row],[Abandoned Cart]]*DecodeLabs[[#This Row],[UnitPrice]]</f>
        <v>0</v>
      </c>
    </row>
    <row r="1076" spans="1:16" hidden="1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9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>
        <f t="shared" si="16"/>
        <v>3</v>
      </c>
      <c r="M1076" t="s">
        <v>4283</v>
      </c>
      <c r="N1076" t="s">
        <v>4282</v>
      </c>
      <c r="O1076" s="11">
        <v>222.73</v>
      </c>
      <c r="P1076" s="9">
        <f>DecodeLabs[[#This Row],[Abandoned Cart]]*DecodeLabs[[#This Row],[UnitPrice]]</f>
        <v>668.18999999999994</v>
      </c>
    </row>
    <row r="1077" spans="1:16" hidden="1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9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>
        <f t="shared" si="16"/>
        <v>5</v>
      </c>
      <c r="M1077" t="s">
        <v>4277</v>
      </c>
      <c r="N1077" t="s">
        <v>4278</v>
      </c>
      <c r="O1077" s="11">
        <v>1105.26</v>
      </c>
      <c r="P1077" s="9">
        <f>DecodeLabs[[#This Row],[Abandoned Cart]]*DecodeLabs[[#This Row],[UnitPrice]]</f>
        <v>2763.15</v>
      </c>
    </row>
    <row r="1078" spans="1:16" hidden="1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9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>
        <f t="shared" si="16"/>
        <v>2</v>
      </c>
      <c r="M1078" t="s">
        <v>4283</v>
      </c>
      <c r="N1078" t="s">
        <v>4279</v>
      </c>
      <c r="O1078" s="11">
        <v>2746.44</v>
      </c>
      <c r="P1078" s="9">
        <f>DecodeLabs[[#This Row],[Abandoned Cart]]*DecodeLabs[[#This Row],[UnitPrice]]</f>
        <v>1373.22</v>
      </c>
    </row>
    <row r="1079" spans="1:16" hidden="1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>
        <f t="shared" si="16"/>
        <v>5</v>
      </c>
      <c r="M1079" t="s">
        <v>4275</v>
      </c>
      <c r="N1079" t="s">
        <v>4279</v>
      </c>
      <c r="O1079" s="11">
        <v>915.48</v>
      </c>
      <c r="P1079" s="9">
        <f>DecodeLabs[[#This Row],[Abandoned Cart]]*DecodeLabs[[#This Row],[UnitPrice]]</f>
        <v>1525.8000000000002</v>
      </c>
    </row>
    <row r="1080" spans="1:16" hidden="1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9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>
        <f t="shared" si="16"/>
        <v>3</v>
      </c>
      <c r="M1080" t="s">
        <v>4277</v>
      </c>
      <c r="N1080" t="s">
        <v>4280</v>
      </c>
      <c r="O1080" s="11">
        <v>41.09</v>
      </c>
      <c r="P1080" s="9">
        <f>DecodeLabs[[#This Row],[Abandoned Cart]]*DecodeLabs[[#This Row],[UnitPrice]]</f>
        <v>123.27000000000001</v>
      </c>
    </row>
    <row r="1081" spans="1:16" hidden="1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9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>
        <f t="shared" si="16"/>
        <v>3</v>
      </c>
      <c r="M1081" t="s">
        <v>4283</v>
      </c>
      <c r="N1081" t="s">
        <v>4280</v>
      </c>
      <c r="O1081" s="11">
        <v>3170</v>
      </c>
      <c r="P1081" s="9">
        <f>DecodeLabs[[#This Row],[Abandoned Cart]]*DecodeLabs[[#This Row],[UnitPrice]]</f>
        <v>1902</v>
      </c>
    </row>
    <row r="1082" spans="1:16" hidden="1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9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>
        <f t="shared" si="16"/>
        <v>2</v>
      </c>
      <c r="M1082" t="s">
        <v>4283</v>
      </c>
      <c r="N1082" t="s">
        <v>4279</v>
      </c>
      <c r="O1082" s="11">
        <v>2323.6999999999998</v>
      </c>
      <c r="P1082" s="9">
        <f>DecodeLabs[[#This Row],[Abandoned Cart]]*DecodeLabs[[#This Row],[UnitPrice]]</f>
        <v>929.48</v>
      </c>
    </row>
    <row r="1083" spans="1:16" hidden="1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9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>
        <f t="shared" si="16"/>
        <v>1</v>
      </c>
      <c r="M1083" t="s">
        <v>4276</v>
      </c>
      <c r="N1083" t="s">
        <v>4282</v>
      </c>
      <c r="O1083" s="11">
        <v>1702.4</v>
      </c>
      <c r="P1083" s="9">
        <f>DecodeLabs[[#This Row],[Abandoned Cart]]*DecodeLabs[[#This Row],[UnitPrice]]</f>
        <v>425.6</v>
      </c>
    </row>
    <row r="1084" spans="1:16" hidden="1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9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>
        <f t="shared" si="16"/>
        <v>2</v>
      </c>
      <c r="M1084" t="s">
        <v>4275</v>
      </c>
      <c r="N1084" t="s">
        <v>4280</v>
      </c>
      <c r="O1084" s="11">
        <v>1719.66</v>
      </c>
      <c r="P1084" s="9">
        <f>DecodeLabs[[#This Row],[Abandoned Cart]]*DecodeLabs[[#This Row],[UnitPrice]]</f>
        <v>1146.44</v>
      </c>
    </row>
    <row r="1085" spans="1:16" hidden="1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9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>
        <f t="shared" si="16"/>
        <v>2</v>
      </c>
      <c r="M1085" t="s">
        <v>4275</v>
      </c>
      <c r="N1085" t="s">
        <v>4280</v>
      </c>
      <c r="O1085" s="11">
        <v>123.28</v>
      </c>
      <c r="P1085" s="9">
        <f>DecodeLabs[[#This Row],[Abandoned Cart]]*DecodeLabs[[#This Row],[UnitPrice]]</f>
        <v>246.56</v>
      </c>
    </row>
    <row r="1086" spans="1:16" hidden="1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9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>
        <f t="shared" si="16"/>
        <v>0</v>
      </c>
      <c r="M1086" t="s">
        <v>4277</v>
      </c>
      <c r="N1086" t="s">
        <v>4278</v>
      </c>
      <c r="O1086" s="11">
        <v>70.819999999999993</v>
      </c>
      <c r="P1086" s="9">
        <f>DecodeLabs[[#This Row],[Abandoned Cart]]*DecodeLabs[[#This Row],[UnitPrice]]</f>
        <v>0</v>
      </c>
    </row>
    <row r="1087" spans="1:16" hidden="1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9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>
        <f t="shared" si="16"/>
        <v>5</v>
      </c>
      <c r="M1087" t="s">
        <v>4277</v>
      </c>
      <c r="N1087" t="s">
        <v>4278</v>
      </c>
      <c r="O1087" s="11">
        <v>1293.3800000000001</v>
      </c>
      <c r="P1087" s="9">
        <f>DecodeLabs[[#This Row],[Abandoned Cart]]*DecodeLabs[[#This Row],[UnitPrice]]</f>
        <v>3233.4500000000003</v>
      </c>
    </row>
    <row r="1088" spans="1:16" hidden="1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9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>
        <f t="shared" si="16"/>
        <v>3</v>
      </c>
      <c r="M1088" t="s">
        <v>4277</v>
      </c>
      <c r="N1088" t="s">
        <v>4278</v>
      </c>
      <c r="O1088" s="11">
        <v>1026.8399999999999</v>
      </c>
      <c r="P1088" s="9">
        <f>DecodeLabs[[#This Row],[Abandoned Cart]]*DecodeLabs[[#This Row],[UnitPrice]]</f>
        <v>1540.2599999999998</v>
      </c>
    </row>
    <row r="1089" spans="1:16" hidden="1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>
        <f t="shared" si="16"/>
        <v>4</v>
      </c>
      <c r="M1089" t="s">
        <v>4275</v>
      </c>
      <c r="N1089" t="s">
        <v>4278</v>
      </c>
      <c r="O1089" s="11">
        <v>2772.28</v>
      </c>
      <c r="P1089" s="9">
        <f>DecodeLabs[[#This Row],[Abandoned Cart]]*DecodeLabs[[#This Row],[UnitPrice]]</f>
        <v>2772.28</v>
      </c>
    </row>
    <row r="1090" spans="1:16" hidden="1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9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>
        <f t="shared" ref="L1090:L1153" si="17">K1090-E1090</f>
        <v>3</v>
      </c>
      <c r="M1090" t="s">
        <v>4277</v>
      </c>
      <c r="N1090" t="s">
        <v>4278</v>
      </c>
      <c r="O1090" s="11">
        <v>1474.29</v>
      </c>
      <c r="P1090" s="9">
        <f>DecodeLabs[[#This Row],[Abandoned Cart]]*DecodeLabs[[#This Row],[UnitPrice]]</f>
        <v>1474.29</v>
      </c>
    </row>
    <row r="1091" spans="1:16" hidden="1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9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>
        <f t="shared" si="17"/>
        <v>0</v>
      </c>
      <c r="M1091" t="s">
        <v>4283</v>
      </c>
      <c r="N1091" t="s">
        <v>4278</v>
      </c>
      <c r="O1091" s="11">
        <v>1199.48</v>
      </c>
      <c r="P1091" s="9">
        <f>DecodeLabs[[#This Row],[Abandoned Cart]]*DecodeLabs[[#This Row],[UnitPrice]]</f>
        <v>0</v>
      </c>
    </row>
    <row r="1092" spans="1:16" hidden="1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9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>
        <f t="shared" si="17"/>
        <v>4</v>
      </c>
      <c r="M1092" t="s">
        <v>4283</v>
      </c>
      <c r="N1092" t="s">
        <v>4278</v>
      </c>
      <c r="O1092" s="11">
        <v>1300.5</v>
      </c>
      <c r="P1092" s="9">
        <f>DecodeLabs[[#This Row],[Abandoned Cart]]*DecodeLabs[[#This Row],[UnitPrice]]</f>
        <v>2601</v>
      </c>
    </row>
    <row r="1093" spans="1:16" hidden="1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9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>
        <f t="shared" si="17"/>
        <v>1</v>
      </c>
      <c r="M1093" t="s">
        <v>4283</v>
      </c>
      <c r="N1093" t="s">
        <v>4280</v>
      </c>
      <c r="O1093" s="11">
        <v>628.43999999999994</v>
      </c>
      <c r="P1093" s="9">
        <f>DecodeLabs[[#This Row],[Abandoned Cart]]*DecodeLabs[[#This Row],[UnitPrice]]</f>
        <v>209.48</v>
      </c>
    </row>
    <row r="1094" spans="1:16" hidden="1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9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>
        <f t="shared" si="17"/>
        <v>1</v>
      </c>
      <c r="M1094" t="s">
        <v>4277</v>
      </c>
      <c r="N1094" t="s">
        <v>4280</v>
      </c>
      <c r="O1094" s="11">
        <v>1046</v>
      </c>
      <c r="P1094" s="9">
        <f>DecodeLabs[[#This Row],[Abandoned Cart]]*DecodeLabs[[#This Row],[UnitPrice]]</f>
        <v>209.2</v>
      </c>
    </row>
    <row r="1095" spans="1:16" hidden="1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9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>
        <f t="shared" si="17"/>
        <v>5</v>
      </c>
      <c r="M1095" t="s">
        <v>4276</v>
      </c>
      <c r="N1095" t="s">
        <v>4278</v>
      </c>
      <c r="O1095" s="11">
        <v>789.44</v>
      </c>
      <c r="P1095" s="9">
        <f>DecodeLabs[[#This Row],[Abandoned Cart]]*DecodeLabs[[#This Row],[UnitPrice]]</f>
        <v>986.80000000000007</v>
      </c>
    </row>
    <row r="1096" spans="1:16" hidden="1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9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>
        <f t="shared" si="17"/>
        <v>2</v>
      </c>
      <c r="M1096" t="s">
        <v>4275</v>
      </c>
      <c r="N1096" t="s">
        <v>4278</v>
      </c>
      <c r="O1096" s="11">
        <v>2595.64</v>
      </c>
      <c r="P1096" s="9">
        <f>DecodeLabs[[#This Row],[Abandoned Cart]]*DecodeLabs[[#This Row],[UnitPrice]]</f>
        <v>1297.82</v>
      </c>
    </row>
    <row r="1097" spans="1:16" hidden="1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9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>
        <f t="shared" si="17"/>
        <v>0</v>
      </c>
      <c r="M1097" t="s">
        <v>4275</v>
      </c>
      <c r="N1097" t="s">
        <v>4280</v>
      </c>
      <c r="O1097" s="11">
        <v>883.08</v>
      </c>
      <c r="P1097" s="9">
        <f>DecodeLabs[[#This Row],[Abandoned Cart]]*DecodeLabs[[#This Row],[UnitPrice]]</f>
        <v>0</v>
      </c>
    </row>
    <row r="1098" spans="1:16" hidden="1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9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>
        <f t="shared" si="17"/>
        <v>0</v>
      </c>
      <c r="M1098" t="s">
        <v>4283</v>
      </c>
      <c r="N1098" t="s">
        <v>4281</v>
      </c>
      <c r="O1098" s="11">
        <v>929.84</v>
      </c>
      <c r="P1098" s="9">
        <f>DecodeLabs[[#This Row],[Abandoned Cart]]*DecodeLabs[[#This Row],[UnitPrice]]</f>
        <v>0</v>
      </c>
    </row>
    <row r="1099" spans="1:16" hidden="1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>
        <f t="shared" si="17"/>
        <v>2</v>
      </c>
      <c r="M1099" t="s">
        <v>4277</v>
      </c>
      <c r="N1099" t="s">
        <v>4282</v>
      </c>
      <c r="O1099" s="11">
        <v>2532.25</v>
      </c>
      <c r="P1099" s="9">
        <f>DecodeLabs[[#This Row],[Abandoned Cart]]*DecodeLabs[[#This Row],[UnitPrice]]</f>
        <v>1012.9</v>
      </c>
    </row>
    <row r="1100" spans="1:16" hidden="1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9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>
        <f t="shared" si="17"/>
        <v>3</v>
      </c>
      <c r="M1100" t="s">
        <v>4283</v>
      </c>
      <c r="N1100" t="s">
        <v>4280</v>
      </c>
      <c r="O1100" s="11">
        <v>1023.44</v>
      </c>
      <c r="P1100" s="9">
        <f>DecodeLabs[[#This Row],[Abandoned Cart]]*DecodeLabs[[#This Row],[UnitPrice]]</f>
        <v>767.58</v>
      </c>
    </row>
    <row r="1101" spans="1:16" hidden="1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9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>
        <f t="shared" si="17"/>
        <v>1</v>
      </c>
      <c r="M1101" t="s">
        <v>4276</v>
      </c>
      <c r="N1101" t="s">
        <v>4280</v>
      </c>
      <c r="O1101" s="11">
        <v>250.46</v>
      </c>
      <c r="P1101" s="9">
        <f>DecodeLabs[[#This Row],[Abandoned Cart]]*DecodeLabs[[#This Row],[UnitPrice]]</f>
        <v>125.23</v>
      </c>
    </row>
    <row r="1102" spans="1:16" hidden="1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9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>
        <f t="shared" si="17"/>
        <v>1</v>
      </c>
      <c r="M1102" t="s">
        <v>4277</v>
      </c>
      <c r="N1102" t="s">
        <v>4278</v>
      </c>
      <c r="O1102" s="11">
        <v>190.55</v>
      </c>
      <c r="P1102" s="9">
        <f>DecodeLabs[[#This Row],[Abandoned Cart]]*DecodeLabs[[#This Row],[UnitPrice]]</f>
        <v>38.11</v>
      </c>
    </row>
    <row r="1103" spans="1:16" hidden="1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9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>
        <f t="shared" si="17"/>
        <v>1</v>
      </c>
      <c r="M1103" t="s">
        <v>4275</v>
      </c>
      <c r="N1103" t="s">
        <v>4280</v>
      </c>
      <c r="O1103" s="11">
        <v>485.91</v>
      </c>
      <c r="P1103" s="9">
        <f>DecodeLabs[[#This Row],[Abandoned Cart]]*DecodeLabs[[#This Row],[UnitPrice]]</f>
        <v>161.97</v>
      </c>
    </row>
    <row r="1104" spans="1:16" hidden="1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9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>
        <f t="shared" si="17"/>
        <v>4</v>
      </c>
      <c r="M1104" t="s">
        <v>4283</v>
      </c>
      <c r="N1104" t="s">
        <v>4278</v>
      </c>
      <c r="O1104" s="11">
        <v>1388.68</v>
      </c>
      <c r="P1104" s="9">
        <f>DecodeLabs[[#This Row],[Abandoned Cart]]*DecodeLabs[[#This Row],[UnitPrice]]</f>
        <v>1388.68</v>
      </c>
    </row>
    <row r="1105" spans="1:16" hidden="1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9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>
        <f t="shared" si="17"/>
        <v>1</v>
      </c>
      <c r="M1105" t="s">
        <v>4283</v>
      </c>
      <c r="N1105" t="s">
        <v>4282</v>
      </c>
      <c r="O1105" s="11">
        <v>1105.28</v>
      </c>
      <c r="P1105" s="9">
        <f>DecodeLabs[[#This Row],[Abandoned Cart]]*DecodeLabs[[#This Row],[UnitPrice]]</f>
        <v>276.32</v>
      </c>
    </row>
    <row r="1106" spans="1:16" hidden="1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9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>
        <f t="shared" si="17"/>
        <v>4</v>
      </c>
      <c r="M1106" t="s">
        <v>4283</v>
      </c>
      <c r="N1106" t="s">
        <v>4278</v>
      </c>
      <c r="O1106" s="11">
        <v>1259.04</v>
      </c>
      <c r="P1106" s="9">
        <f>DecodeLabs[[#This Row],[Abandoned Cart]]*DecodeLabs[[#This Row],[UnitPrice]]</f>
        <v>1259.04</v>
      </c>
    </row>
    <row r="1107" spans="1:16" hidden="1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9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>
        <f t="shared" si="17"/>
        <v>0</v>
      </c>
      <c r="M1107" t="s">
        <v>4276</v>
      </c>
      <c r="N1107" t="s">
        <v>4282</v>
      </c>
      <c r="O1107" s="11">
        <v>1427.07</v>
      </c>
      <c r="P1107" s="9">
        <f>DecodeLabs[[#This Row],[Abandoned Cart]]*DecodeLabs[[#This Row],[UnitPrice]]</f>
        <v>0</v>
      </c>
    </row>
    <row r="1108" spans="1:16" hidden="1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9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>
        <f t="shared" si="17"/>
        <v>5</v>
      </c>
      <c r="M1108" t="s">
        <v>4275</v>
      </c>
      <c r="N1108" t="s">
        <v>4281</v>
      </c>
      <c r="O1108" s="11">
        <v>372.8</v>
      </c>
      <c r="P1108" s="9">
        <f>DecodeLabs[[#This Row],[Abandoned Cart]]*DecodeLabs[[#This Row],[UnitPrice]]</f>
        <v>1864</v>
      </c>
    </row>
    <row r="1109" spans="1:16" hidden="1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>
        <f t="shared" si="17"/>
        <v>2</v>
      </c>
      <c r="M1109" t="s">
        <v>4275</v>
      </c>
      <c r="N1109" t="s">
        <v>4282</v>
      </c>
      <c r="O1109" s="11">
        <v>126.42</v>
      </c>
      <c r="P1109" s="9">
        <f>DecodeLabs[[#This Row],[Abandoned Cart]]*DecodeLabs[[#This Row],[UnitPrice]]</f>
        <v>126.42</v>
      </c>
    </row>
    <row r="1110" spans="1:16" hidden="1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9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>
        <f t="shared" si="17"/>
        <v>4</v>
      </c>
      <c r="M1110" t="s">
        <v>4277</v>
      </c>
      <c r="N1110" t="s">
        <v>4278</v>
      </c>
      <c r="O1110" s="11">
        <v>634.94000000000005</v>
      </c>
      <c r="P1110" s="9">
        <f>DecodeLabs[[#This Row],[Abandoned Cart]]*DecodeLabs[[#This Row],[UnitPrice]]</f>
        <v>2539.7600000000002</v>
      </c>
    </row>
    <row r="1111" spans="1:16" hidden="1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9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>
        <f t="shared" si="17"/>
        <v>3</v>
      </c>
      <c r="M1111" t="s">
        <v>4275</v>
      </c>
      <c r="N1111" t="s">
        <v>4278</v>
      </c>
      <c r="O1111" s="11">
        <v>309.88</v>
      </c>
      <c r="P1111" s="9">
        <f>DecodeLabs[[#This Row],[Abandoned Cart]]*DecodeLabs[[#This Row],[UnitPrice]]</f>
        <v>232.41</v>
      </c>
    </row>
    <row r="1112" spans="1:16" hidden="1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9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>
        <f t="shared" si="17"/>
        <v>0</v>
      </c>
      <c r="M1112" t="s">
        <v>4275</v>
      </c>
      <c r="N1112" t="s">
        <v>4280</v>
      </c>
      <c r="O1112" s="11">
        <v>252.93</v>
      </c>
      <c r="P1112" s="9">
        <f>DecodeLabs[[#This Row],[Abandoned Cart]]*DecodeLabs[[#This Row],[UnitPrice]]</f>
        <v>0</v>
      </c>
    </row>
    <row r="1113" spans="1:16" hidden="1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9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>
        <f t="shared" si="17"/>
        <v>5</v>
      </c>
      <c r="M1113" t="s">
        <v>4276</v>
      </c>
      <c r="N1113" t="s">
        <v>4278</v>
      </c>
      <c r="O1113" s="11">
        <v>937.8</v>
      </c>
      <c r="P1113" s="9">
        <f>DecodeLabs[[#This Row],[Abandoned Cart]]*DecodeLabs[[#This Row],[UnitPrice]]</f>
        <v>1172.25</v>
      </c>
    </row>
    <row r="1114" spans="1:16" hidden="1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9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>
        <f t="shared" si="17"/>
        <v>0</v>
      </c>
      <c r="M1114" t="s">
        <v>4277</v>
      </c>
      <c r="N1114" t="s">
        <v>4278</v>
      </c>
      <c r="O1114" s="11">
        <v>356.81</v>
      </c>
      <c r="P1114" s="9">
        <f>DecodeLabs[[#This Row],[Abandoned Cart]]*DecodeLabs[[#This Row],[UnitPrice]]</f>
        <v>0</v>
      </c>
    </row>
    <row r="1115" spans="1:16" hidden="1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9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>
        <f t="shared" si="17"/>
        <v>4</v>
      </c>
      <c r="M1115" t="s">
        <v>4283</v>
      </c>
      <c r="N1115" t="s">
        <v>4282</v>
      </c>
      <c r="O1115" s="11">
        <v>839.96</v>
      </c>
      <c r="P1115" s="9">
        <f>DecodeLabs[[#This Row],[Abandoned Cart]]*DecodeLabs[[#This Row],[UnitPrice]]</f>
        <v>839.96</v>
      </c>
    </row>
    <row r="1116" spans="1:16" hidden="1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9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>
        <f t="shared" si="17"/>
        <v>0</v>
      </c>
      <c r="M1116" t="s">
        <v>4283</v>
      </c>
      <c r="N1116" t="s">
        <v>4282</v>
      </c>
      <c r="O1116" s="11">
        <v>1979.64</v>
      </c>
      <c r="P1116" s="9">
        <f>DecodeLabs[[#This Row],[Abandoned Cart]]*DecodeLabs[[#This Row],[UnitPrice]]</f>
        <v>0</v>
      </c>
    </row>
    <row r="1117" spans="1:16" hidden="1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9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>
        <f t="shared" si="17"/>
        <v>1</v>
      </c>
      <c r="M1117" t="s">
        <v>4283</v>
      </c>
      <c r="N1117" t="s">
        <v>4282</v>
      </c>
      <c r="O1117" s="11">
        <v>672.64</v>
      </c>
      <c r="P1117" s="9">
        <f>DecodeLabs[[#This Row],[Abandoned Cart]]*DecodeLabs[[#This Row],[UnitPrice]]</f>
        <v>336.32</v>
      </c>
    </row>
    <row r="1118" spans="1:16" hidden="1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9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>
        <f t="shared" si="17"/>
        <v>5</v>
      </c>
      <c r="M1118" t="s">
        <v>4277</v>
      </c>
      <c r="N1118" t="s">
        <v>4281</v>
      </c>
      <c r="O1118" s="11">
        <v>1062.98</v>
      </c>
      <c r="P1118" s="9">
        <f>DecodeLabs[[#This Row],[Abandoned Cart]]*DecodeLabs[[#This Row],[UnitPrice]]</f>
        <v>2657.45</v>
      </c>
    </row>
    <row r="1119" spans="1:16" hidden="1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>
        <f t="shared" si="17"/>
        <v>5</v>
      </c>
      <c r="M1119" t="s">
        <v>4277</v>
      </c>
      <c r="N1119" t="s">
        <v>4282</v>
      </c>
      <c r="O1119" s="11">
        <v>1765.32</v>
      </c>
      <c r="P1119" s="9">
        <f>DecodeLabs[[#This Row],[Abandoned Cart]]*DecodeLabs[[#This Row],[UnitPrice]]</f>
        <v>2942.2000000000003</v>
      </c>
    </row>
    <row r="1120" spans="1:16" hidden="1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9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>
        <f t="shared" si="17"/>
        <v>1</v>
      </c>
      <c r="M1120" t="s">
        <v>4283</v>
      </c>
      <c r="N1120" t="s">
        <v>4280</v>
      </c>
      <c r="O1120" s="11">
        <v>754.43999999999994</v>
      </c>
      <c r="P1120" s="9">
        <f>DecodeLabs[[#This Row],[Abandoned Cart]]*DecodeLabs[[#This Row],[UnitPrice]]</f>
        <v>251.48</v>
      </c>
    </row>
    <row r="1121" spans="1:16" hidden="1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9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>
        <f t="shared" si="17"/>
        <v>0</v>
      </c>
      <c r="M1121" t="s">
        <v>4276</v>
      </c>
      <c r="N1121" t="s">
        <v>4280</v>
      </c>
      <c r="O1121" s="11">
        <v>684.65</v>
      </c>
      <c r="P1121" s="9">
        <f>DecodeLabs[[#This Row],[Abandoned Cart]]*DecodeLabs[[#This Row],[UnitPrice]]</f>
        <v>0</v>
      </c>
    </row>
    <row r="1122" spans="1:16" hidden="1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9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>
        <f t="shared" si="17"/>
        <v>2</v>
      </c>
      <c r="M1122" t="s">
        <v>4283</v>
      </c>
      <c r="N1122" t="s">
        <v>4281</v>
      </c>
      <c r="O1122" s="11">
        <v>195.86</v>
      </c>
      <c r="P1122" s="9">
        <f>DecodeLabs[[#This Row],[Abandoned Cart]]*DecodeLabs[[#This Row],[UnitPrice]]</f>
        <v>391.72</v>
      </c>
    </row>
    <row r="1123" spans="1:16" hidden="1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9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>
        <f t="shared" si="17"/>
        <v>0</v>
      </c>
      <c r="M1123" t="s">
        <v>4276</v>
      </c>
      <c r="N1123" t="s">
        <v>4278</v>
      </c>
      <c r="O1123" s="11">
        <v>151.02000000000001</v>
      </c>
      <c r="P1123" s="9">
        <f>DecodeLabs[[#This Row],[Abandoned Cart]]*DecodeLabs[[#This Row],[UnitPrice]]</f>
        <v>0</v>
      </c>
    </row>
    <row r="1124" spans="1:16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9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>
        <f t="shared" si="17"/>
        <v>3</v>
      </c>
      <c r="M1124" t="s">
        <v>4283</v>
      </c>
      <c r="N1124" t="s">
        <v>4281</v>
      </c>
      <c r="O1124" s="11">
        <v>3390.95</v>
      </c>
      <c r="P1124" s="9">
        <f>DecodeLabs[[#This Row],[Abandoned Cart]]*DecodeLabs[[#This Row],[UnitPrice]]</f>
        <v>2034.5700000000002</v>
      </c>
    </row>
    <row r="1125" spans="1:16" hidden="1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9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>
        <f t="shared" si="17"/>
        <v>3</v>
      </c>
      <c r="M1125" t="s">
        <v>4277</v>
      </c>
      <c r="N1125" t="s">
        <v>4279</v>
      </c>
      <c r="O1125" s="11">
        <v>1662.75</v>
      </c>
      <c r="P1125" s="9">
        <f>DecodeLabs[[#This Row],[Abandoned Cart]]*DecodeLabs[[#This Row],[UnitPrice]]</f>
        <v>1662.75</v>
      </c>
    </row>
    <row r="1126" spans="1:16" hidden="1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9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>
        <f t="shared" si="17"/>
        <v>1</v>
      </c>
      <c r="M1126" t="s">
        <v>4283</v>
      </c>
      <c r="N1126" t="s">
        <v>4278</v>
      </c>
      <c r="O1126" s="11">
        <v>2307.48</v>
      </c>
      <c r="P1126" s="9">
        <f>DecodeLabs[[#This Row],[Abandoned Cart]]*DecodeLabs[[#This Row],[UnitPrice]]</f>
        <v>576.87</v>
      </c>
    </row>
    <row r="1127" spans="1:16" hidden="1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9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>
        <f t="shared" si="17"/>
        <v>0</v>
      </c>
      <c r="M1127" t="s">
        <v>4276</v>
      </c>
      <c r="N1127" t="s">
        <v>4279</v>
      </c>
      <c r="O1127" s="11">
        <v>1633.44</v>
      </c>
      <c r="P1127" s="9">
        <f>DecodeLabs[[#This Row],[Abandoned Cart]]*DecodeLabs[[#This Row],[UnitPrice]]</f>
        <v>0</v>
      </c>
    </row>
    <row r="1128" spans="1:16" hidden="1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9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>
        <f t="shared" si="17"/>
        <v>2</v>
      </c>
      <c r="M1128" t="s">
        <v>4275</v>
      </c>
      <c r="N1128" t="s">
        <v>4282</v>
      </c>
      <c r="O1128" s="11">
        <v>950.55000000000007</v>
      </c>
      <c r="P1128" s="9">
        <f>DecodeLabs[[#This Row],[Abandoned Cart]]*DecodeLabs[[#This Row],[UnitPrice]]</f>
        <v>380.22</v>
      </c>
    </row>
    <row r="1129" spans="1:16" hidden="1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>
        <f t="shared" si="17"/>
        <v>3</v>
      </c>
      <c r="M1129" t="s">
        <v>4275</v>
      </c>
      <c r="N1129" t="s">
        <v>4280</v>
      </c>
      <c r="O1129" s="11">
        <v>1808.25</v>
      </c>
      <c r="P1129" s="9">
        <f>DecodeLabs[[#This Row],[Abandoned Cart]]*DecodeLabs[[#This Row],[UnitPrice]]</f>
        <v>1808.25</v>
      </c>
    </row>
    <row r="1130" spans="1:16" hidden="1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9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>
        <f t="shared" si="17"/>
        <v>2</v>
      </c>
      <c r="M1130" t="s">
        <v>4277</v>
      </c>
      <c r="N1130" t="s">
        <v>4282</v>
      </c>
      <c r="O1130" s="11">
        <v>1940.37</v>
      </c>
      <c r="P1130" s="9">
        <f>DecodeLabs[[#This Row],[Abandoned Cart]]*DecodeLabs[[#This Row],[UnitPrice]]</f>
        <v>1293.58</v>
      </c>
    </row>
    <row r="1131" spans="1:16" hidden="1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9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>
        <f t="shared" si="17"/>
        <v>4</v>
      </c>
      <c r="M1131" t="s">
        <v>4276</v>
      </c>
      <c r="N1131" t="s">
        <v>4278</v>
      </c>
      <c r="O1131" s="11">
        <v>1674.84</v>
      </c>
      <c r="P1131" s="9">
        <f>DecodeLabs[[#This Row],[Abandoned Cart]]*DecodeLabs[[#This Row],[UnitPrice]]</f>
        <v>1674.84</v>
      </c>
    </row>
    <row r="1132" spans="1:16" hidden="1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9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>
        <f t="shared" si="17"/>
        <v>3</v>
      </c>
      <c r="M1132" t="s">
        <v>4276</v>
      </c>
      <c r="N1132" t="s">
        <v>4278</v>
      </c>
      <c r="O1132" s="11">
        <v>646.9</v>
      </c>
      <c r="P1132" s="9">
        <f>DecodeLabs[[#This Row],[Abandoned Cart]]*DecodeLabs[[#This Row],[UnitPrice]]</f>
        <v>970.34999999999991</v>
      </c>
    </row>
    <row r="1133" spans="1:16" hidden="1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9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>
        <f t="shared" si="17"/>
        <v>2</v>
      </c>
      <c r="M1133" t="s">
        <v>4277</v>
      </c>
      <c r="N1133" t="s">
        <v>4281</v>
      </c>
      <c r="O1133" s="11">
        <v>694.5</v>
      </c>
      <c r="P1133" s="9">
        <f>DecodeLabs[[#This Row],[Abandoned Cart]]*DecodeLabs[[#This Row],[UnitPrice]]</f>
        <v>1389</v>
      </c>
    </row>
    <row r="1134" spans="1:16" hidden="1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9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>
        <f t="shared" si="17"/>
        <v>2</v>
      </c>
      <c r="M1134" t="s">
        <v>4275</v>
      </c>
      <c r="N1134" t="s">
        <v>4280</v>
      </c>
      <c r="O1134" s="11">
        <v>674.64</v>
      </c>
      <c r="P1134" s="9">
        <f>DecodeLabs[[#This Row],[Abandoned Cart]]*DecodeLabs[[#This Row],[UnitPrice]]</f>
        <v>674.64</v>
      </c>
    </row>
    <row r="1135" spans="1:16" hidden="1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9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>
        <f t="shared" si="17"/>
        <v>3</v>
      </c>
      <c r="M1135" t="s">
        <v>4277</v>
      </c>
      <c r="N1135" t="s">
        <v>4281</v>
      </c>
      <c r="O1135" s="11">
        <v>935.82</v>
      </c>
      <c r="P1135" s="9">
        <f>DecodeLabs[[#This Row],[Abandoned Cart]]*DecodeLabs[[#This Row],[UnitPrice]]</f>
        <v>1403.73</v>
      </c>
    </row>
    <row r="1136" spans="1:16" hidden="1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9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>
        <f t="shared" si="17"/>
        <v>0</v>
      </c>
      <c r="M1136" t="s">
        <v>4277</v>
      </c>
      <c r="N1136" t="s">
        <v>4281</v>
      </c>
      <c r="O1136" s="11">
        <v>153.12</v>
      </c>
      <c r="P1136" s="9">
        <f>DecodeLabs[[#This Row],[Abandoned Cart]]*DecodeLabs[[#This Row],[UnitPrice]]</f>
        <v>0</v>
      </c>
    </row>
    <row r="1137" spans="1:16" hidden="1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9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>
        <f t="shared" si="17"/>
        <v>0</v>
      </c>
      <c r="M1137" t="s">
        <v>4275</v>
      </c>
      <c r="N1137" t="s">
        <v>4282</v>
      </c>
      <c r="O1137" s="11">
        <v>146.82</v>
      </c>
      <c r="P1137" s="9">
        <f>DecodeLabs[[#This Row],[Abandoned Cart]]*DecodeLabs[[#This Row],[UnitPrice]]</f>
        <v>0</v>
      </c>
    </row>
    <row r="1138" spans="1:16" hidden="1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9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>
        <f t="shared" si="17"/>
        <v>1</v>
      </c>
      <c r="M1138" t="s">
        <v>4277</v>
      </c>
      <c r="N1138" t="s">
        <v>4281</v>
      </c>
      <c r="O1138" s="11">
        <v>2004.99</v>
      </c>
      <c r="P1138" s="9">
        <f>DecodeLabs[[#This Row],[Abandoned Cart]]*DecodeLabs[[#This Row],[UnitPrice]]</f>
        <v>668.33</v>
      </c>
    </row>
    <row r="1139" spans="1:16" hidden="1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>
        <f t="shared" si="17"/>
        <v>1</v>
      </c>
      <c r="M1139" t="s">
        <v>4277</v>
      </c>
      <c r="N1139" t="s">
        <v>4278</v>
      </c>
      <c r="O1139" s="11">
        <v>1640.84</v>
      </c>
      <c r="P1139" s="9">
        <f>DecodeLabs[[#This Row],[Abandoned Cart]]*DecodeLabs[[#This Row],[UnitPrice]]</f>
        <v>410.21</v>
      </c>
    </row>
    <row r="1140" spans="1:16" hidden="1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9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>
        <f t="shared" si="17"/>
        <v>0</v>
      </c>
      <c r="M1140" t="s">
        <v>4283</v>
      </c>
      <c r="N1140" t="s">
        <v>4278</v>
      </c>
      <c r="O1140" s="11">
        <v>1177.6400000000001</v>
      </c>
      <c r="P1140" s="9">
        <f>DecodeLabs[[#This Row],[Abandoned Cart]]*DecodeLabs[[#This Row],[UnitPrice]]</f>
        <v>0</v>
      </c>
    </row>
    <row r="1141" spans="1:16" hidden="1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9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>
        <f t="shared" si="17"/>
        <v>1</v>
      </c>
      <c r="M1141" t="s">
        <v>4276</v>
      </c>
      <c r="N1141" t="s">
        <v>4280</v>
      </c>
      <c r="O1141" s="11">
        <v>1505.46</v>
      </c>
      <c r="P1141" s="9">
        <f>DecodeLabs[[#This Row],[Abandoned Cart]]*DecodeLabs[[#This Row],[UnitPrice]]</f>
        <v>501.82</v>
      </c>
    </row>
    <row r="1142" spans="1:16" hidden="1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9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>
        <f t="shared" si="17"/>
        <v>1</v>
      </c>
      <c r="M1142" t="s">
        <v>4283</v>
      </c>
      <c r="N1142" t="s">
        <v>4279</v>
      </c>
      <c r="O1142" s="11">
        <v>1105.6600000000001</v>
      </c>
      <c r="P1142" s="9">
        <f>DecodeLabs[[#This Row],[Abandoned Cart]]*DecodeLabs[[#This Row],[UnitPrice]]</f>
        <v>552.83000000000004</v>
      </c>
    </row>
    <row r="1143" spans="1:16" hidden="1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9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>
        <f t="shared" si="17"/>
        <v>3</v>
      </c>
      <c r="M1143" t="s">
        <v>4283</v>
      </c>
      <c r="N1143" t="s">
        <v>4280</v>
      </c>
      <c r="O1143" s="11">
        <v>1495.98</v>
      </c>
      <c r="P1143" s="9">
        <f>DecodeLabs[[#This Row],[Abandoned Cart]]*DecodeLabs[[#This Row],[UnitPrice]]</f>
        <v>1495.98</v>
      </c>
    </row>
    <row r="1144" spans="1:16" hidden="1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9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>
        <f t="shared" si="17"/>
        <v>4</v>
      </c>
      <c r="M1144" t="s">
        <v>4283</v>
      </c>
      <c r="N1144" t="s">
        <v>4280</v>
      </c>
      <c r="O1144" s="11">
        <v>2780.4</v>
      </c>
      <c r="P1144" s="9">
        <f>DecodeLabs[[#This Row],[Abandoned Cart]]*DecodeLabs[[#This Row],[UnitPrice]]</f>
        <v>2780.4</v>
      </c>
    </row>
    <row r="1145" spans="1:16" hidden="1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9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>
        <f t="shared" si="17"/>
        <v>4</v>
      </c>
      <c r="M1145" t="s">
        <v>4283</v>
      </c>
      <c r="N1145" t="s">
        <v>4280</v>
      </c>
      <c r="O1145" s="11">
        <v>381.61</v>
      </c>
      <c r="P1145" s="9">
        <f>DecodeLabs[[#This Row],[Abandoned Cart]]*DecodeLabs[[#This Row],[UnitPrice]]</f>
        <v>1526.44</v>
      </c>
    </row>
    <row r="1146" spans="1:16" hidden="1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9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>
        <f t="shared" si="17"/>
        <v>4</v>
      </c>
      <c r="M1146" t="s">
        <v>4283</v>
      </c>
      <c r="N1146" t="s">
        <v>4281</v>
      </c>
      <c r="O1146" s="11">
        <v>2539.6999999999998</v>
      </c>
      <c r="P1146" s="9">
        <f>DecodeLabs[[#This Row],[Abandoned Cart]]*DecodeLabs[[#This Row],[UnitPrice]]</f>
        <v>2031.76</v>
      </c>
    </row>
    <row r="1147" spans="1:16" hidden="1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9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>
        <f t="shared" si="17"/>
        <v>3</v>
      </c>
      <c r="M1147" t="s">
        <v>4276</v>
      </c>
      <c r="N1147" t="s">
        <v>4281</v>
      </c>
      <c r="O1147" s="11">
        <v>1714.59</v>
      </c>
      <c r="P1147" s="9">
        <f>DecodeLabs[[#This Row],[Abandoned Cart]]*DecodeLabs[[#This Row],[UnitPrice]]</f>
        <v>1714.59</v>
      </c>
    </row>
    <row r="1148" spans="1:16" hidden="1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9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>
        <f t="shared" si="17"/>
        <v>0</v>
      </c>
      <c r="M1148" t="s">
        <v>4275</v>
      </c>
      <c r="N1148" t="s">
        <v>4278</v>
      </c>
      <c r="O1148" s="11">
        <v>2107.1999999999998</v>
      </c>
      <c r="P1148" s="9">
        <f>DecodeLabs[[#This Row],[Abandoned Cart]]*DecodeLabs[[#This Row],[UnitPrice]]</f>
        <v>0</v>
      </c>
    </row>
    <row r="1149" spans="1:16" hidden="1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>
        <f t="shared" si="17"/>
        <v>0</v>
      </c>
      <c r="M1149" t="s">
        <v>4276</v>
      </c>
      <c r="N1149" t="s">
        <v>4280</v>
      </c>
      <c r="O1149" s="11">
        <v>1176.5999999999999</v>
      </c>
      <c r="P1149" s="9">
        <f>DecodeLabs[[#This Row],[Abandoned Cart]]*DecodeLabs[[#This Row],[UnitPrice]]</f>
        <v>0</v>
      </c>
    </row>
    <row r="1150" spans="1:16" hidden="1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9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>
        <f t="shared" si="17"/>
        <v>1</v>
      </c>
      <c r="M1150" t="s">
        <v>4275</v>
      </c>
      <c r="N1150" t="s">
        <v>4280</v>
      </c>
      <c r="O1150" s="11">
        <v>355.15</v>
      </c>
      <c r="P1150" s="9">
        <f>DecodeLabs[[#This Row],[Abandoned Cart]]*DecodeLabs[[#This Row],[UnitPrice]]</f>
        <v>355.15</v>
      </c>
    </row>
    <row r="1151" spans="1:16" hidden="1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9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>
        <f t="shared" si="17"/>
        <v>4</v>
      </c>
      <c r="M1151" t="s">
        <v>4276</v>
      </c>
      <c r="N1151" t="s">
        <v>4278</v>
      </c>
      <c r="O1151" s="11">
        <v>1390.58</v>
      </c>
      <c r="P1151" s="9">
        <f>DecodeLabs[[#This Row],[Abandoned Cart]]*DecodeLabs[[#This Row],[UnitPrice]]</f>
        <v>2781.16</v>
      </c>
    </row>
    <row r="1152" spans="1:16" hidden="1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9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>
        <f t="shared" si="17"/>
        <v>4</v>
      </c>
      <c r="M1152" t="s">
        <v>4275</v>
      </c>
      <c r="N1152" t="s">
        <v>4279</v>
      </c>
      <c r="O1152" s="11">
        <v>1210.5999999999999</v>
      </c>
      <c r="P1152" s="9">
        <f>DecodeLabs[[#This Row],[Abandoned Cart]]*DecodeLabs[[#This Row],[UnitPrice]]</f>
        <v>1210.5999999999999</v>
      </c>
    </row>
    <row r="1153" spans="1:16" hidden="1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9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>
        <f t="shared" si="17"/>
        <v>2</v>
      </c>
      <c r="M1153" t="s">
        <v>4283</v>
      </c>
      <c r="N1153" t="s">
        <v>4282</v>
      </c>
      <c r="O1153" s="11">
        <v>1216.08</v>
      </c>
      <c r="P1153" s="9">
        <f>DecodeLabs[[#This Row],[Abandoned Cart]]*DecodeLabs[[#This Row],[UnitPrice]]</f>
        <v>1216.08</v>
      </c>
    </row>
    <row r="1154" spans="1:16" hidden="1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9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>
        <f t="shared" ref="L1154:L1201" si="18">K1154-E1154</f>
        <v>5</v>
      </c>
      <c r="M1154" t="s">
        <v>4283</v>
      </c>
      <c r="N1154" t="s">
        <v>4279</v>
      </c>
      <c r="O1154" s="11">
        <v>688.36</v>
      </c>
      <c r="P1154" s="9">
        <f>DecodeLabs[[#This Row],[Abandoned Cart]]*DecodeLabs[[#This Row],[UnitPrice]]</f>
        <v>1720.9</v>
      </c>
    </row>
    <row r="1155" spans="1:16" hidden="1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9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>
        <f t="shared" si="18"/>
        <v>0</v>
      </c>
      <c r="M1155" t="s">
        <v>4283</v>
      </c>
      <c r="N1155" t="s">
        <v>4278</v>
      </c>
      <c r="O1155" s="11">
        <v>2786.84</v>
      </c>
      <c r="P1155" s="9">
        <f>DecodeLabs[[#This Row],[Abandoned Cart]]*DecodeLabs[[#This Row],[UnitPrice]]</f>
        <v>0</v>
      </c>
    </row>
    <row r="1156" spans="1:16" hidden="1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9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>
        <f t="shared" si="18"/>
        <v>5</v>
      </c>
      <c r="M1156" t="s">
        <v>4275</v>
      </c>
      <c r="N1156" t="s">
        <v>4278</v>
      </c>
      <c r="O1156" s="11">
        <v>595.89</v>
      </c>
      <c r="P1156" s="9">
        <f>DecodeLabs[[#This Row],[Abandoned Cart]]*DecodeLabs[[#This Row],[UnitPrice]]</f>
        <v>993.15</v>
      </c>
    </row>
    <row r="1157" spans="1:16" hidden="1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9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>
        <f t="shared" si="18"/>
        <v>2</v>
      </c>
      <c r="M1157" t="s">
        <v>4276</v>
      </c>
      <c r="N1157" t="s">
        <v>4281</v>
      </c>
      <c r="O1157" s="11">
        <v>2138.2800000000002</v>
      </c>
      <c r="P1157" s="9">
        <f>DecodeLabs[[#This Row],[Abandoned Cart]]*DecodeLabs[[#This Row],[UnitPrice]]</f>
        <v>1069.1400000000001</v>
      </c>
    </row>
    <row r="1158" spans="1:16" hidden="1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9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>
        <f t="shared" si="18"/>
        <v>5</v>
      </c>
      <c r="M1158" t="s">
        <v>4283</v>
      </c>
      <c r="N1158" t="s">
        <v>4279</v>
      </c>
      <c r="O1158" s="11">
        <v>2763.12</v>
      </c>
      <c r="P1158" s="9">
        <f>DecodeLabs[[#This Row],[Abandoned Cart]]*DecodeLabs[[#This Row],[UnitPrice]]</f>
        <v>3453.8999999999996</v>
      </c>
    </row>
    <row r="1159" spans="1:16" hidden="1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>
        <f t="shared" si="18"/>
        <v>2</v>
      </c>
      <c r="M1159" t="s">
        <v>4276</v>
      </c>
      <c r="N1159" t="s">
        <v>4282</v>
      </c>
      <c r="O1159" s="11">
        <v>904.65000000000009</v>
      </c>
      <c r="P1159" s="9">
        <f>DecodeLabs[[#This Row],[Abandoned Cart]]*DecodeLabs[[#This Row],[UnitPrice]]</f>
        <v>603.1</v>
      </c>
    </row>
    <row r="1160" spans="1:16" hidden="1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9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>
        <f t="shared" si="18"/>
        <v>0</v>
      </c>
      <c r="M1160" t="s">
        <v>4275</v>
      </c>
      <c r="N1160" t="s">
        <v>4279</v>
      </c>
      <c r="O1160" s="11">
        <v>109.68</v>
      </c>
      <c r="P1160" s="9">
        <f>DecodeLabs[[#This Row],[Abandoned Cart]]*DecodeLabs[[#This Row],[UnitPrice]]</f>
        <v>0</v>
      </c>
    </row>
    <row r="1161" spans="1:16" hidden="1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9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>
        <f t="shared" si="18"/>
        <v>4</v>
      </c>
      <c r="M1161" t="s">
        <v>4283</v>
      </c>
      <c r="N1161" t="s">
        <v>4278</v>
      </c>
      <c r="O1161" s="11">
        <v>1866.8</v>
      </c>
      <c r="P1161" s="9">
        <f>DecodeLabs[[#This Row],[Abandoned Cart]]*DecodeLabs[[#This Row],[UnitPrice]]</f>
        <v>1866.8</v>
      </c>
    </row>
    <row r="1162" spans="1:16" hidden="1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9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>
        <f t="shared" si="18"/>
        <v>4</v>
      </c>
      <c r="M1162" t="s">
        <v>4275</v>
      </c>
      <c r="N1162" t="s">
        <v>4280</v>
      </c>
      <c r="O1162" s="11">
        <v>541.64</v>
      </c>
      <c r="P1162" s="9">
        <f>DecodeLabs[[#This Row],[Abandoned Cart]]*DecodeLabs[[#This Row],[UnitPrice]]</f>
        <v>2166.56</v>
      </c>
    </row>
    <row r="1163" spans="1:16" hidden="1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9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>
        <f t="shared" si="18"/>
        <v>5</v>
      </c>
      <c r="M1163" t="s">
        <v>4277</v>
      </c>
      <c r="N1163" t="s">
        <v>4280</v>
      </c>
      <c r="O1163" s="11">
        <v>11.39</v>
      </c>
      <c r="P1163" s="9">
        <f>DecodeLabs[[#This Row],[Abandoned Cart]]*DecodeLabs[[#This Row],[UnitPrice]]</f>
        <v>56.95</v>
      </c>
    </row>
    <row r="1164" spans="1:16" hidden="1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9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>
        <f t="shared" si="18"/>
        <v>1</v>
      </c>
      <c r="M1164" t="s">
        <v>4277</v>
      </c>
      <c r="N1164" t="s">
        <v>4279</v>
      </c>
      <c r="O1164" s="11">
        <v>448.74</v>
      </c>
      <c r="P1164" s="9">
        <f>DecodeLabs[[#This Row],[Abandoned Cart]]*DecodeLabs[[#This Row],[UnitPrice]]</f>
        <v>224.37</v>
      </c>
    </row>
    <row r="1165" spans="1:16" hidden="1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9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>
        <f t="shared" si="18"/>
        <v>4</v>
      </c>
      <c r="M1165" t="s">
        <v>4277</v>
      </c>
      <c r="N1165" t="s">
        <v>4278</v>
      </c>
      <c r="O1165" s="11">
        <v>918.87000000000012</v>
      </c>
      <c r="P1165" s="9">
        <f>DecodeLabs[[#This Row],[Abandoned Cart]]*DecodeLabs[[#This Row],[UnitPrice]]</f>
        <v>1225.1600000000001</v>
      </c>
    </row>
    <row r="1166" spans="1:16" hidden="1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9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>
        <f t="shared" si="18"/>
        <v>1</v>
      </c>
      <c r="M1166" t="s">
        <v>4277</v>
      </c>
      <c r="N1166" t="s">
        <v>4280</v>
      </c>
      <c r="O1166" s="11">
        <v>1577.85</v>
      </c>
      <c r="P1166" s="9">
        <f>DecodeLabs[[#This Row],[Abandoned Cart]]*DecodeLabs[[#This Row],[UnitPrice]]</f>
        <v>315.57</v>
      </c>
    </row>
    <row r="1167" spans="1:16" hidden="1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9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>
        <f t="shared" si="18"/>
        <v>0</v>
      </c>
      <c r="M1167" t="s">
        <v>4283</v>
      </c>
      <c r="N1167" t="s">
        <v>4282</v>
      </c>
      <c r="O1167" s="11">
        <v>671.37</v>
      </c>
      <c r="P1167" s="9">
        <f>DecodeLabs[[#This Row],[Abandoned Cart]]*DecodeLabs[[#This Row],[UnitPrice]]</f>
        <v>0</v>
      </c>
    </row>
    <row r="1168" spans="1:16" hidden="1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9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>
        <f t="shared" si="18"/>
        <v>1</v>
      </c>
      <c r="M1168" t="s">
        <v>4277</v>
      </c>
      <c r="N1168" t="s">
        <v>4280</v>
      </c>
      <c r="O1168" s="11">
        <v>973.41000000000008</v>
      </c>
      <c r="P1168" s="9">
        <f>DecodeLabs[[#This Row],[Abandoned Cart]]*DecodeLabs[[#This Row],[UnitPrice]]</f>
        <v>324.47000000000003</v>
      </c>
    </row>
    <row r="1169" spans="1:16" hidden="1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>
        <f t="shared" si="18"/>
        <v>3</v>
      </c>
      <c r="M1169" t="s">
        <v>4276</v>
      </c>
      <c r="N1169" t="s">
        <v>4281</v>
      </c>
      <c r="O1169" s="11">
        <v>185.74</v>
      </c>
      <c r="P1169" s="9">
        <f>DecodeLabs[[#This Row],[Abandoned Cart]]*DecodeLabs[[#This Row],[UnitPrice]]</f>
        <v>278.61</v>
      </c>
    </row>
    <row r="1170" spans="1:16" hidden="1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9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>
        <f t="shared" si="18"/>
        <v>4</v>
      </c>
      <c r="M1170" t="s">
        <v>4277</v>
      </c>
      <c r="N1170" t="s">
        <v>4282</v>
      </c>
      <c r="O1170" s="11">
        <v>662.84</v>
      </c>
      <c r="P1170" s="9">
        <f>DecodeLabs[[#This Row],[Abandoned Cart]]*DecodeLabs[[#This Row],[UnitPrice]]</f>
        <v>1325.68</v>
      </c>
    </row>
    <row r="1171" spans="1:16" hidden="1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9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>
        <f t="shared" si="18"/>
        <v>1</v>
      </c>
      <c r="M1171" t="s">
        <v>4275</v>
      </c>
      <c r="N1171" t="s">
        <v>4278</v>
      </c>
      <c r="O1171" s="11">
        <v>525.42999999999995</v>
      </c>
      <c r="P1171" s="9">
        <f>DecodeLabs[[#This Row],[Abandoned Cart]]*DecodeLabs[[#This Row],[UnitPrice]]</f>
        <v>525.42999999999995</v>
      </c>
    </row>
    <row r="1172" spans="1:16" hidden="1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9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>
        <f t="shared" si="18"/>
        <v>5</v>
      </c>
      <c r="M1172" t="s">
        <v>4276</v>
      </c>
      <c r="N1172" t="s">
        <v>4280</v>
      </c>
      <c r="O1172" s="11">
        <v>1394.38</v>
      </c>
      <c r="P1172" s="9">
        <f>DecodeLabs[[#This Row],[Abandoned Cart]]*DecodeLabs[[#This Row],[UnitPrice]]</f>
        <v>3485.9500000000003</v>
      </c>
    </row>
    <row r="1173" spans="1:16" hidden="1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9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>
        <f t="shared" si="18"/>
        <v>3</v>
      </c>
      <c r="M1173" t="s">
        <v>4275</v>
      </c>
      <c r="N1173" t="s">
        <v>4281</v>
      </c>
      <c r="O1173" s="11">
        <v>2073.6</v>
      </c>
      <c r="P1173" s="9">
        <f>DecodeLabs[[#This Row],[Abandoned Cart]]*DecodeLabs[[#This Row],[UnitPrice]]</f>
        <v>1555.1999999999998</v>
      </c>
    </row>
    <row r="1174" spans="1:16" hidden="1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9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>
        <f t="shared" si="18"/>
        <v>5</v>
      </c>
      <c r="M1174" t="s">
        <v>4283</v>
      </c>
      <c r="N1174" t="s">
        <v>4278</v>
      </c>
      <c r="O1174" s="11">
        <v>395.88</v>
      </c>
      <c r="P1174" s="9">
        <f>DecodeLabs[[#This Row],[Abandoned Cart]]*DecodeLabs[[#This Row],[UnitPrice]]</f>
        <v>659.80000000000007</v>
      </c>
    </row>
    <row r="1175" spans="1:16" hidden="1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9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>
        <f t="shared" si="18"/>
        <v>3</v>
      </c>
      <c r="M1175" t="s">
        <v>4276</v>
      </c>
      <c r="N1175" t="s">
        <v>4280</v>
      </c>
      <c r="O1175" s="11">
        <v>208.36</v>
      </c>
      <c r="P1175" s="9">
        <f>DecodeLabs[[#This Row],[Abandoned Cart]]*DecodeLabs[[#This Row],[UnitPrice]]</f>
        <v>625.08000000000004</v>
      </c>
    </row>
    <row r="1176" spans="1:16" hidden="1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9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>
        <f t="shared" si="18"/>
        <v>2</v>
      </c>
      <c r="M1176" t="s">
        <v>4277</v>
      </c>
      <c r="N1176" t="s">
        <v>4280</v>
      </c>
      <c r="O1176" s="11">
        <v>667.02</v>
      </c>
      <c r="P1176" s="9">
        <f>DecodeLabs[[#This Row],[Abandoned Cart]]*DecodeLabs[[#This Row],[UnitPrice]]</f>
        <v>444.68</v>
      </c>
    </row>
    <row r="1177" spans="1:16" hidden="1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9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>
        <f t="shared" si="18"/>
        <v>5</v>
      </c>
      <c r="M1177" t="s">
        <v>4276</v>
      </c>
      <c r="N1177" t="s">
        <v>4279</v>
      </c>
      <c r="O1177" s="11">
        <v>275.22000000000003</v>
      </c>
      <c r="P1177" s="9">
        <f>DecodeLabs[[#This Row],[Abandoned Cart]]*DecodeLabs[[#This Row],[UnitPrice]]</f>
        <v>458.7</v>
      </c>
    </row>
    <row r="1178" spans="1:16" hidden="1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9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>
        <f t="shared" si="18"/>
        <v>0</v>
      </c>
      <c r="M1178" t="s">
        <v>4277</v>
      </c>
      <c r="N1178" t="s">
        <v>4280</v>
      </c>
      <c r="O1178" s="11">
        <v>427.66</v>
      </c>
      <c r="P1178" s="9">
        <f>DecodeLabs[[#This Row],[Abandoned Cart]]*DecodeLabs[[#This Row],[UnitPrice]]</f>
        <v>0</v>
      </c>
    </row>
    <row r="1179" spans="1:16" hidden="1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>
        <f t="shared" si="18"/>
        <v>2</v>
      </c>
      <c r="M1179" t="s">
        <v>4275</v>
      </c>
      <c r="N1179" t="s">
        <v>4279</v>
      </c>
      <c r="O1179" s="11">
        <v>127.55</v>
      </c>
      <c r="P1179" s="9">
        <f>DecodeLabs[[#This Row],[Abandoned Cart]]*DecodeLabs[[#This Row],[UnitPrice]]</f>
        <v>255.1</v>
      </c>
    </row>
    <row r="1180" spans="1:16" hidden="1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9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>
        <f t="shared" si="18"/>
        <v>3</v>
      </c>
      <c r="M1180" t="s">
        <v>4276</v>
      </c>
      <c r="N1180" t="s">
        <v>4282</v>
      </c>
      <c r="O1180" s="11">
        <v>70.239999999999995</v>
      </c>
      <c r="P1180" s="9">
        <f>DecodeLabs[[#This Row],[Abandoned Cart]]*DecodeLabs[[#This Row],[UnitPrice]]</f>
        <v>210.71999999999997</v>
      </c>
    </row>
    <row r="1181" spans="1:16" hidden="1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9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>
        <f t="shared" si="18"/>
        <v>1</v>
      </c>
      <c r="M1181" t="s">
        <v>4277</v>
      </c>
      <c r="N1181" t="s">
        <v>4278</v>
      </c>
      <c r="O1181" s="11">
        <v>2592.75</v>
      </c>
      <c r="P1181" s="9">
        <f>DecodeLabs[[#This Row],[Abandoned Cart]]*DecodeLabs[[#This Row],[UnitPrice]]</f>
        <v>518.54999999999995</v>
      </c>
    </row>
    <row r="1182" spans="1:16" hidden="1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9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>
        <f t="shared" si="18"/>
        <v>4</v>
      </c>
      <c r="M1182" t="s">
        <v>4276</v>
      </c>
      <c r="N1182" t="s">
        <v>4282</v>
      </c>
      <c r="O1182" s="11">
        <v>1193.44</v>
      </c>
      <c r="P1182" s="9">
        <f>DecodeLabs[[#This Row],[Abandoned Cart]]*DecodeLabs[[#This Row],[UnitPrice]]</f>
        <v>1193.44</v>
      </c>
    </row>
    <row r="1183" spans="1:16" hidden="1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9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>
        <f t="shared" si="18"/>
        <v>4</v>
      </c>
      <c r="M1183" t="s">
        <v>4276</v>
      </c>
      <c r="N1183" t="s">
        <v>4278</v>
      </c>
      <c r="O1183" s="11">
        <v>476.22</v>
      </c>
      <c r="P1183" s="9">
        <f>DecodeLabs[[#This Row],[Abandoned Cart]]*DecodeLabs[[#This Row],[UnitPrice]]</f>
        <v>634.96</v>
      </c>
    </row>
    <row r="1184" spans="1:16" hidden="1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9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>
        <f t="shared" si="18"/>
        <v>1</v>
      </c>
      <c r="M1184" t="s">
        <v>4275</v>
      </c>
      <c r="N1184" t="s">
        <v>4282</v>
      </c>
      <c r="O1184" s="11">
        <v>840.58</v>
      </c>
      <c r="P1184" s="9">
        <f>DecodeLabs[[#This Row],[Abandoned Cart]]*DecodeLabs[[#This Row],[UnitPrice]]</f>
        <v>420.29</v>
      </c>
    </row>
    <row r="1185" spans="1:16" hidden="1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9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>
        <f t="shared" si="18"/>
        <v>5</v>
      </c>
      <c r="M1185" t="s">
        <v>4277</v>
      </c>
      <c r="N1185" t="s">
        <v>4279</v>
      </c>
      <c r="O1185" s="11">
        <v>281.52</v>
      </c>
      <c r="P1185" s="9">
        <f>DecodeLabs[[#This Row],[Abandoned Cart]]*DecodeLabs[[#This Row],[UnitPrice]]</f>
        <v>1407.6</v>
      </c>
    </row>
    <row r="1186" spans="1:16" hidden="1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9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>
        <f t="shared" si="18"/>
        <v>3</v>
      </c>
      <c r="M1186" t="s">
        <v>4283</v>
      </c>
      <c r="N1186" t="s">
        <v>4282</v>
      </c>
      <c r="O1186" s="11">
        <v>204.08</v>
      </c>
      <c r="P1186" s="9">
        <f>DecodeLabs[[#This Row],[Abandoned Cart]]*DecodeLabs[[#This Row],[UnitPrice]]</f>
        <v>612.24</v>
      </c>
    </row>
    <row r="1187" spans="1:16" hidden="1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9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>
        <f t="shared" si="18"/>
        <v>5</v>
      </c>
      <c r="M1187" t="s">
        <v>4275</v>
      </c>
      <c r="N1187" t="s">
        <v>4282</v>
      </c>
      <c r="O1187" s="11">
        <v>343.31</v>
      </c>
      <c r="P1187" s="9">
        <f>DecodeLabs[[#This Row],[Abandoned Cart]]*DecodeLabs[[#This Row],[UnitPrice]]</f>
        <v>1716.55</v>
      </c>
    </row>
    <row r="1188" spans="1:16" hidden="1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9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>
        <f t="shared" si="18"/>
        <v>5</v>
      </c>
      <c r="M1188" t="s">
        <v>4277</v>
      </c>
      <c r="N1188" t="s">
        <v>4281</v>
      </c>
      <c r="O1188" s="11">
        <v>163.32</v>
      </c>
      <c r="P1188" s="9">
        <f>DecodeLabs[[#This Row],[Abandoned Cart]]*DecodeLabs[[#This Row],[UnitPrice]]</f>
        <v>816.59999999999991</v>
      </c>
    </row>
    <row r="1189" spans="1:16" hidden="1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>
        <f t="shared" si="18"/>
        <v>5</v>
      </c>
      <c r="M1189" t="s">
        <v>4277</v>
      </c>
      <c r="N1189" t="s">
        <v>4280</v>
      </c>
      <c r="O1189" s="11">
        <v>369.2</v>
      </c>
      <c r="P1189" s="9">
        <f>DecodeLabs[[#This Row],[Abandoned Cart]]*DecodeLabs[[#This Row],[UnitPrice]]</f>
        <v>923</v>
      </c>
    </row>
    <row r="1190" spans="1:16" hidden="1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9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>
        <f t="shared" si="18"/>
        <v>3</v>
      </c>
      <c r="M1190" t="s">
        <v>4277</v>
      </c>
      <c r="N1190" t="s">
        <v>4281</v>
      </c>
      <c r="O1190" s="11">
        <v>742.58</v>
      </c>
      <c r="P1190" s="9">
        <f>DecodeLabs[[#This Row],[Abandoned Cart]]*DecodeLabs[[#This Row],[UnitPrice]]</f>
        <v>1113.8700000000001</v>
      </c>
    </row>
    <row r="1191" spans="1:16" hidden="1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9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>
        <f t="shared" si="18"/>
        <v>2</v>
      </c>
      <c r="M1191" t="s">
        <v>4283</v>
      </c>
      <c r="N1191" t="s">
        <v>4279</v>
      </c>
      <c r="O1191" s="11">
        <v>1946.1</v>
      </c>
      <c r="P1191" s="9">
        <f>DecodeLabs[[#This Row],[Abandoned Cart]]*DecodeLabs[[#This Row],[UnitPrice]]</f>
        <v>778.44</v>
      </c>
    </row>
    <row r="1192" spans="1:16" hidden="1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9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>
        <f t="shared" si="18"/>
        <v>3</v>
      </c>
      <c r="M1192" t="s">
        <v>4276</v>
      </c>
      <c r="N1192" t="s">
        <v>4278</v>
      </c>
      <c r="O1192" s="11">
        <v>1849.17</v>
      </c>
      <c r="P1192" s="9">
        <f>DecodeLabs[[#This Row],[Abandoned Cart]]*DecodeLabs[[#This Row],[UnitPrice]]</f>
        <v>1849.17</v>
      </c>
    </row>
    <row r="1193" spans="1:16" hidden="1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9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>
        <f t="shared" si="18"/>
        <v>1</v>
      </c>
      <c r="M1193" t="s">
        <v>4277</v>
      </c>
      <c r="N1193" t="s">
        <v>4278</v>
      </c>
      <c r="O1193" s="11">
        <v>1505.72</v>
      </c>
      <c r="P1193" s="9">
        <f>DecodeLabs[[#This Row],[Abandoned Cart]]*DecodeLabs[[#This Row],[UnitPrice]]</f>
        <v>376.43</v>
      </c>
    </row>
    <row r="1194" spans="1:16" hidden="1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9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>
        <f t="shared" si="18"/>
        <v>1</v>
      </c>
      <c r="M1194" t="s">
        <v>4283</v>
      </c>
      <c r="N1194" t="s">
        <v>4278</v>
      </c>
      <c r="O1194" s="11">
        <v>1298.55</v>
      </c>
      <c r="P1194" s="9">
        <f>DecodeLabs[[#This Row],[Abandoned Cart]]*DecodeLabs[[#This Row],[UnitPrice]]</f>
        <v>432.85</v>
      </c>
    </row>
    <row r="1195" spans="1:16" hidden="1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9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>
        <f t="shared" si="18"/>
        <v>0</v>
      </c>
      <c r="M1195" t="s">
        <v>4276</v>
      </c>
      <c r="N1195" t="s">
        <v>4280</v>
      </c>
      <c r="O1195" s="11">
        <v>687.89</v>
      </c>
      <c r="P1195" s="9">
        <f>DecodeLabs[[#This Row],[Abandoned Cart]]*DecodeLabs[[#This Row],[UnitPrice]]</f>
        <v>0</v>
      </c>
    </row>
    <row r="1196" spans="1:16" hidden="1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9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>
        <f t="shared" si="18"/>
        <v>1</v>
      </c>
      <c r="M1196" t="s">
        <v>4276</v>
      </c>
      <c r="N1196" t="s">
        <v>4280</v>
      </c>
      <c r="O1196" s="11">
        <v>568.31999999999994</v>
      </c>
      <c r="P1196" s="9">
        <f>DecodeLabs[[#This Row],[Abandoned Cart]]*DecodeLabs[[#This Row],[UnitPrice]]</f>
        <v>189.44</v>
      </c>
    </row>
    <row r="1197" spans="1:16" hidden="1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9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>
        <f t="shared" si="18"/>
        <v>5</v>
      </c>
      <c r="M1197" t="s">
        <v>4276</v>
      </c>
      <c r="N1197" t="s">
        <v>4282</v>
      </c>
      <c r="O1197" s="11">
        <v>107.04</v>
      </c>
      <c r="P1197" s="9">
        <f>DecodeLabs[[#This Row],[Abandoned Cart]]*DecodeLabs[[#This Row],[UnitPrice]]</f>
        <v>535.20000000000005</v>
      </c>
    </row>
    <row r="1198" spans="1:16" hidden="1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9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>
        <f t="shared" si="18"/>
        <v>3</v>
      </c>
      <c r="M1198" t="s">
        <v>4283</v>
      </c>
      <c r="N1198" t="s">
        <v>4281</v>
      </c>
      <c r="O1198" s="11">
        <v>1325.06</v>
      </c>
      <c r="P1198" s="9">
        <f>DecodeLabs[[#This Row],[Abandoned Cart]]*DecodeLabs[[#This Row],[UnitPrice]]</f>
        <v>1987.59</v>
      </c>
    </row>
    <row r="1199" spans="1:16" hidden="1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>
        <f t="shared" si="18"/>
        <v>0</v>
      </c>
      <c r="M1199" t="s">
        <v>4276</v>
      </c>
      <c r="N1199" t="s">
        <v>4278</v>
      </c>
      <c r="O1199" s="11">
        <v>873.68</v>
      </c>
      <c r="P1199" s="9">
        <f>DecodeLabs[[#This Row],[Abandoned Cart]]*DecodeLabs[[#This Row],[UnitPrice]]</f>
        <v>0</v>
      </c>
    </row>
    <row r="1200" spans="1:16" hidden="1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9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>
        <f t="shared" si="18"/>
        <v>0</v>
      </c>
      <c r="M1200" t="s">
        <v>4277</v>
      </c>
      <c r="N1200" t="s">
        <v>4278</v>
      </c>
      <c r="O1200" s="11">
        <v>1050.08</v>
      </c>
      <c r="P1200" s="9">
        <f>DecodeLabs[[#This Row],[Abandoned Cart]]*DecodeLabs[[#This Row],[UnitPrice]]</f>
        <v>0</v>
      </c>
    </row>
    <row r="1201" spans="1:16" hidden="1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9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>
        <f t="shared" si="18"/>
        <v>2</v>
      </c>
      <c r="M1201" t="s">
        <v>4275</v>
      </c>
      <c r="N1201" t="s">
        <v>4279</v>
      </c>
      <c r="O1201" s="11">
        <v>2242.3200000000002</v>
      </c>
      <c r="P1201" s="9">
        <f>DecodeLabs[[#This Row],[Abandoned Cart]]*DecodeLabs[[#This Row],[UnitPrice]]</f>
        <v>1121.1600000000001</v>
      </c>
    </row>
    <row r="1205" spans="1:16" x14ac:dyDescent="0.25">
      <c r="A1205" s="13" t="s">
        <v>4289</v>
      </c>
      <c r="B1205" s="13"/>
      <c r="C1205">
        <f>MIN(DecodeLabs[TotalPrice])</f>
        <v>11.39</v>
      </c>
    </row>
    <row r="1206" spans="1:16" x14ac:dyDescent="0.25">
      <c r="A1206" s="13" t="s">
        <v>4292</v>
      </c>
      <c r="B1206" s="13"/>
      <c r="C1206">
        <f>_xlfn.QUARTILE.INC(DecodeLabs[TotalPrice], 1)</f>
        <v>410.52</v>
      </c>
    </row>
    <row r="1207" spans="1:16" x14ac:dyDescent="0.25">
      <c r="A1207" s="13" t="s">
        <v>4291</v>
      </c>
      <c r="B1207" s="13"/>
      <c r="C1207">
        <f>MEDIAN(DecodeLabs[TotalPrice])</f>
        <v>823.61500000000001</v>
      </c>
    </row>
    <row r="1208" spans="1:16" x14ac:dyDescent="0.25">
      <c r="A1208" s="13" t="s">
        <v>4293</v>
      </c>
      <c r="B1208" s="13"/>
      <c r="C1208">
        <f>_xlfn.QUARTILE.INC(DecodeLabs[TotalPrice], 3)</f>
        <v>1578.4749999999999</v>
      </c>
    </row>
    <row r="1209" spans="1:16" x14ac:dyDescent="0.25">
      <c r="A1209" s="13" t="s">
        <v>4290</v>
      </c>
      <c r="B1209" s="13"/>
      <c r="C1209">
        <f>MAX(DecodeLabs[TotalPrice])</f>
        <v>3456.4</v>
      </c>
    </row>
    <row r="1210" spans="1:16" ht="45" x14ac:dyDescent="0.25">
      <c r="A1210" s="14" t="s">
        <v>4294</v>
      </c>
      <c r="B1210" s="14"/>
      <c r="C1210" s="12">
        <f>C1208-C1206</f>
        <v>1167.9549999999999</v>
      </c>
    </row>
    <row r="1211" spans="1:16" x14ac:dyDescent="0.25">
      <c r="A1211" s="14"/>
      <c r="B1211" s="14"/>
      <c r="C1211" s="12"/>
    </row>
    <row r="1212" spans="1:16" x14ac:dyDescent="0.25">
      <c r="A1212" s="13" t="s">
        <v>4295</v>
      </c>
      <c r="B1212" s="13"/>
      <c r="C1212">
        <f>C1208+1.5*C1210</f>
        <v>3330.4074999999998</v>
      </c>
    </row>
  </sheetData>
  <sortState xmlns:xlrd2="http://schemas.microsoft.com/office/spreadsheetml/2017/richdata2" ref="A2:O1201">
    <sortCondition ref="A3:A1201"/>
  </sortState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D9D8-D1F3-4614-903C-2B67E3BF72AD}">
  <dimension ref="A1:V23"/>
  <sheetViews>
    <sheetView zoomScale="80" zoomScaleNormal="80" zoomScaleSheetLayoutView="82" workbookViewId="0">
      <selection activeCell="C29" sqref="C29"/>
    </sheetView>
  </sheetViews>
  <sheetFormatPr defaultRowHeight="15" x14ac:dyDescent="0.25"/>
  <cols>
    <col min="1" max="1" width="14.140625" bestFit="1" customWidth="1"/>
    <col min="2" max="2" width="15.7109375" bestFit="1" customWidth="1"/>
    <col min="3" max="3" width="16.28515625" bestFit="1" customWidth="1"/>
    <col min="4" max="4" width="15.7109375" bestFit="1" customWidth="1"/>
    <col min="5" max="5" width="9.28515625" bestFit="1" customWidth="1"/>
    <col min="6" max="6" width="8.28515625" bestFit="1" customWidth="1"/>
    <col min="7" max="7" width="11.28515625" bestFit="1" customWidth="1"/>
    <col min="8" max="13" width="7.7109375" bestFit="1" customWidth="1"/>
    <col min="14" max="14" width="19.5703125" bestFit="1" customWidth="1"/>
    <col min="15" max="15" width="16.7109375" bestFit="1" customWidth="1"/>
    <col min="16" max="21" width="9.28515625" bestFit="1" customWidth="1"/>
    <col min="22" max="22" width="11.5703125" bestFit="1" customWidth="1"/>
    <col min="23" max="24" width="9.28515625" bestFit="1" customWidth="1"/>
    <col min="25" max="25" width="11.5703125" bestFit="1" customWidth="1"/>
    <col min="26" max="26" width="8.140625" bestFit="1" customWidth="1"/>
    <col min="27" max="27" width="11.5703125" bestFit="1" customWidth="1"/>
    <col min="28" max="164" width="7.7109375" bestFit="1" customWidth="1"/>
    <col min="165" max="1194" width="8.7109375" bestFit="1" customWidth="1"/>
    <col min="1195" max="1195" width="12.42578125" bestFit="1" customWidth="1"/>
  </cols>
  <sheetData>
    <row r="1" spans="1:22" x14ac:dyDescent="0.25">
      <c r="A1" s="4" t="s">
        <v>4285</v>
      </c>
      <c r="B1" t="s">
        <v>4288</v>
      </c>
      <c r="C1" t="s">
        <v>4297</v>
      </c>
      <c r="D1" t="s">
        <v>4296</v>
      </c>
    </row>
    <row r="2" spans="1:22" x14ac:dyDescent="0.25">
      <c r="A2" s="5" t="s">
        <v>2406</v>
      </c>
      <c r="B2" s="7">
        <v>14.93</v>
      </c>
      <c r="C2" s="7">
        <v>695.29</v>
      </c>
      <c r="D2" s="7">
        <v>355.66028089887635</v>
      </c>
      <c r="N2" s="4" t="s">
        <v>4298</v>
      </c>
      <c r="O2" s="4" t="s">
        <v>4287</v>
      </c>
    </row>
    <row r="3" spans="1:22" x14ac:dyDescent="0.25">
      <c r="A3" s="5" t="s">
        <v>2409</v>
      </c>
      <c r="B3" s="6">
        <v>26.95</v>
      </c>
      <c r="C3" s="6">
        <v>697.93</v>
      </c>
      <c r="D3" s="6">
        <v>329.60811764705858</v>
      </c>
      <c r="N3" s="4" t="s">
        <v>4285</v>
      </c>
      <c r="O3" t="s">
        <v>3071</v>
      </c>
      <c r="P3" t="s">
        <v>3073</v>
      </c>
      <c r="Q3" t="s">
        <v>3074</v>
      </c>
      <c r="R3" t="s">
        <v>3072</v>
      </c>
      <c r="S3" t="s">
        <v>3070</v>
      </c>
      <c r="T3" t="s">
        <v>4286</v>
      </c>
    </row>
    <row r="4" spans="1:22" x14ac:dyDescent="0.25">
      <c r="A4" s="5" t="s">
        <v>2408</v>
      </c>
      <c r="B4" s="6">
        <v>18.2</v>
      </c>
      <c r="C4" s="6">
        <v>699.93</v>
      </c>
      <c r="D4" s="6">
        <v>357.70705202312132</v>
      </c>
      <c r="N4" s="5" t="s">
        <v>3069</v>
      </c>
      <c r="O4" s="6">
        <v>49</v>
      </c>
      <c r="P4" s="6">
        <v>45</v>
      </c>
      <c r="Q4" s="6">
        <v>52</v>
      </c>
      <c r="R4" s="6">
        <v>57</v>
      </c>
      <c r="S4" s="6">
        <v>43</v>
      </c>
      <c r="T4" s="6">
        <v>246</v>
      </c>
    </row>
    <row r="5" spans="1:22" x14ac:dyDescent="0.25">
      <c r="A5" s="5" t="s">
        <v>2403</v>
      </c>
      <c r="B5" s="6">
        <v>14.69</v>
      </c>
      <c r="C5" s="6">
        <v>696.71</v>
      </c>
      <c r="D5" s="6">
        <v>358.66361963190184</v>
      </c>
      <c r="N5" s="5" t="s">
        <v>3067</v>
      </c>
      <c r="O5" s="6">
        <v>54</v>
      </c>
      <c r="P5" s="6">
        <v>43</v>
      </c>
      <c r="Q5" s="6">
        <v>48</v>
      </c>
      <c r="R5" s="6">
        <v>49</v>
      </c>
      <c r="S5" s="6">
        <v>40</v>
      </c>
      <c r="T5" s="6">
        <v>234</v>
      </c>
    </row>
    <row r="6" spans="1:22" x14ac:dyDescent="0.25">
      <c r="A6" s="5" t="s">
        <v>2404</v>
      </c>
      <c r="B6" s="6">
        <v>11.39</v>
      </c>
      <c r="C6" s="6">
        <v>695.1</v>
      </c>
      <c r="D6" s="6">
        <v>375.21756410256421</v>
      </c>
      <c r="N6" s="5" t="s">
        <v>3065</v>
      </c>
      <c r="O6" s="6">
        <v>44</v>
      </c>
      <c r="P6" s="6">
        <v>43</v>
      </c>
      <c r="Q6" s="6">
        <v>55</v>
      </c>
      <c r="R6" s="6">
        <v>51</v>
      </c>
      <c r="S6" s="6">
        <v>39</v>
      </c>
      <c r="T6" s="6">
        <v>232</v>
      </c>
    </row>
    <row r="7" spans="1:22" x14ac:dyDescent="0.25">
      <c r="A7" s="5" t="s">
        <v>2407</v>
      </c>
      <c r="B7" s="6">
        <v>12.1</v>
      </c>
      <c r="C7" s="6">
        <v>697.19</v>
      </c>
      <c r="D7" s="6">
        <v>351.71491712707206</v>
      </c>
      <c r="N7" s="5" t="s">
        <v>3068</v>
      </c>
      <c r="O7" s="6">
        <v>50</v>
      </c>
      <c r="P7" s="6">
        <v>37</v>
      </c>
      <c r="Q7" s="6">
        <v>35</v>
      </c>
      <c r="R7" s="6">
        <v>52</v>
      </c>
      <c r="S7" s="6">
        <v>56</v>
      </c>
      <c r="T7" s="6">
        <v>230</v>
      </c>
    </row>
    <row r="8" spans="1:22" x14ac:dyDescent="0.25">
      <c r="A8" s="5" t="s">
        <v>2405</v>
      </c>
      <c r="B8" s="6">
        <v>17.239999999999998</v>
      </c>
      <c r="C8" s="6">
        <v>699.88</v>
      </c>
      <c r="D8" s="6">
        <v>367.67910614525124</v>
      </c>
      <c r="N8" s="5" t="s">
        <v>3066</v>
      </c>
      <c r="O8" s="6">
        <v>53</v>
      </c>
      <c r="P8" s="6">
        <v>63</v>
      </c>
      <c r="Q8" s="6">
        <v>47</v>
      </c>
      <c r="R8" s="6">
        <v>38</v>
      </c>
      <c r="S8" s="6">
        <v>57</v>
      </c>
      <c r="T8" s="6">
        <v>258</v>
      </c>
    </row>
    <row r="9" spans="1:22" x14ac:dyDescent="0.25">
      <c r="A9" s="5" t="s">
        <v>4286</v>
      </c>
      <c r="B9" s="6">
        <v>11.39</v>
      </c>
      <c r="C9" s="6">
        <v>699.93</v>
      </c>
      <c r="D9" s="6">
        <v>356.41275000000002</v>
      </c>
      <c r="N9" s="5" t="s">
        <v>4286</v>
      </c>
      <c r="O9" s="6">
        <v>250</v>
      </c>
      <c r="P9" s="6">
        <v>231</v>
      </c>
      <c r="Q9" s="6">
        <v>237</v>
      </c>
      <c r="R9" s="6">
        <v>247</v>
      </c>
      <c r="S9" s="6">
        <v>235</v>
      </c>
      <c r="T9" s="6">
        <v>1200</v>
      </c>
    </row>
    <row r="15" spans="1:22" x14ac:dyDescent="0.25">
      <c r="N15" s="4" t="s">
        <v>4301</v>
      </c>
      <c r="O15" s="4" t="s">
        <v>4287</v>
      </c>
    </row>
    <row r="16" spans="1:22" x14ac:dyDescent="0.25">
      <c r="A16" s="4" t="s">
        <v>4285</v>
      </c>
      <c r="B16" t="s">
        <v>4299</v>
      </c>
      <c r="N16" s="4" t="s">
        <v>4285</v>
      </c>
      <c r="O16" t="s">
        <v>2406</v>
      </c>
      <c r="P16" t="s">
        <v>2409</v>
      </c>
      <c r="Q16" t="s">
        <v>2408</v>
      </c>
      <c r="R16" t="s">
        <v>2403</v>
      </c>
      <c r="S16" t="s">
        <v>2404</v>
      </c>
      <c r="T16" t="s">
        <v>2407</v>
      </c>
      <c r="U16" t="s">
        <v>2405</v>
      </c>
      <c r="V16" t="s">
        <v>4286</v>
      </c>
    </row>
    <row r="17" spans="1:22" x14ac:dyDescent="0.25">
      <c r="A17" s="5" t="s">
        <v>4280</v>
      </c>
      <c r="B17" s="15">
        <v>0.20833333333333334</v>
      </c>
      <c r="N17" s="5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</row>
    <row r="18" spans="1:22" x14ac:dyDescent="0.25">
      <c r="A18" s="5" t="s">
        <v>4281</v>
      </c>
      <c r="B18" s="15">
        <v>0.19</v>
      </c>
      <c r="N18" s="5">
        <v>1</v>
      </c>
      <c r="O18" s="16">
        <v>14478.940000000002</v>
      </c>
      <c r="P18" s="16">
        <v>6883.1399999999994</v>
      </c>
      <c r="Q18" s="16">
        <v>13188.279999999999</v>
      </c>
      <c r="R18" s="16">
        <v>7547.3200000000006</v>
      </c>
      <c r="S18" s="16">
        <v>10068.219999999999</v>
      </c>
      <c r="T18" s="16">
        <v>11194.36</v>
      </c>
      <c r="U18" s="16">
        <v>8231.59</v>
      </c>
      <c r="V18" s="16">
        <v>71591.850000000006</v>
      </c>
    </row>
    <row r="19" spans="1:22" x14ac:dyDescent="0.25">
      <c r="A19" s="5" t="s">
        <v>4282</v>
      </c>
      <c r="B19" s="15">
        <v>0.20083333333333334</v>
      </c>
      <c r="N19" s="5">
        <v>2</v>
      </c>
      <c r="O19" s="16">
        <v>16229.52</v>
      </c>
      <c r="P19" s="16">
        <v>16704.840000000004</v>
      </c>
      <c r="Q19" s="16">
        <v>17400.799999999996</v>
      </c>
      <c r="R19" s="16">
        <v>23385.120000000003</v>
      </c>
      <c r="S19" s="16">
        <v>16103.64</v>
      </c>
      <c r="T19" s="16">
        <v>22012.559999999998</v>
      </c>
      <c r="U19" s="16">
        <v>19185.739999999998</v>
      </c>
      <c r="V19" s="16">
        <v>131022.22</v>
      </c>
    </row>
    <row r="20" spans="1:22" x14ac:dyDescent="0.25">
      <c r="A20" s="5" t="s">
        <v>4278</v>
      </c>
      <c r="B20" s="15">
        <v>0.21583333333333332</v>
      </c>
      <c r="N20" s="5">
        <v>3</v>
      </c>
      <c r="O20" s="16">
        <v>27753.899999999998</v>
      </c>
      <c r="P20" s="16">
        <v>30280.080000000002</v>
      </c>
      <c r="Q20" s="16">
        <v>30012.000000000004</v>
      </c>
      <c r="R20" s="16">
        <v>34243.049999999996</v>
      </c>
      <c r="S20" s="16">
        <v>29943.779999999995</v>
      </c>
      <c r="T20" s="16">
        <v>28282.649999999998</v>
      </c>
      <c r="U20" s="16">
        <v>28955.1</v>
      </c>
      <c r="V20" s="16">
        <v>209470.56</v>
      </c>
    </row>
    <row r="21" spans="1:22" x14ac:dyDescent="0.25">
      <c r="A21" s="5" t="s">
        <v>4279</v>
      </c>
      <c r="B21" s="15">
        <v>0.185</v>
      </c>
      <c r="N21" s="5">
        <v>4</v>
      </c>
      <c r="O21" s="16">
        <v>47480.679999999993</v>
      </c>
      <c r="P21" s="16">
        <v>41659.079999999994</v>
      </c>
      <c r="Q21" s="16">
        <v>36700.320000000007</v>
      </c>
      <c r="R21" s="16">
        <v>34322.28</v>
      </c>
      <c r="S21" s="16">
        <v>37249.640000000007</v>
      </c>
      <c r="T21" s="16">
        <v>46166.000000000007</v>
      </c>
      <c r="U21" s="16">
        <v>50787.839999999997</v>
      </c>
      <c r="V21" s="16">
        <v>294365.83999999997</v>
      </c>
    </row>
    <row r="22" spans="1:22" x14ac:dyDescent="0.25">
      <c r="A22" s="5" t="s">
        <v>4286</v>
      </c>
      <c r="B22" s="15">
        <v>1</v>
      </c>
      <c r="N22" s="5">
        <v>5</v>
      </c>
      <c r="O22" s="16">
        <v>59880.299999999996</v>
      </c>
      <c r="P22" s="16">
        <v>47177.25</v>
      </c>
      <c r="Q22" s="16">
        <v>42904.700000000004</v>
      </c>
      <c r="R22" s="16">
        <v>47259.400000000009</v>
      </c>
      <c r="S22" s="16">
        <v>48266.799999999996</v>
      </c>
      <c r="T22" s="16">
        <v>62002.749999999993</v>
      </c>
      <c r="U22" s="16">
        <v>67529.95</v>
      </c>
      <c r="V22" s="16">
        <v>375021.15</v>
      </c>
    </row>
    <row r="23" spans="1:22" x14ac:dyDescent="0.25">
      <c r="N23" s="5" t="s">
        <v>4286</v>
      </c>
      <c r="O23" s="16">
        <v>165823.34</v>
      </c>
      <c r="P23" s="16">
        <v>142704.39000000001</v>
      </c>
      <c r="Q23" s="16">
        <v>140206.1</v>
      </c>
      <c r="R23" s="16">
        <v>146757.16999999998</v>
      </c>
      <c r="S23" s="16">
        <v>141632.07999999999</v>
      </c>
      <c r="T23" s="16">
        <v>169658.32</v>
      </c>
      <c r="U23" s="16">
        <v>174690.21999999997</v>
      </c>
      <c r="V23" s="16">
        <v>1081471.6200000001</v>
      </c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Working Sheet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Olamide Eniitan</cp:lastModifiedBy>
  <dcterms:created xsi:type="dcterms:W3CDTF">2025-06-21T13:19:12Z</dcterms:created>
  <dcterms:modified xsi:type="dcterms:W3CDTF">2026-05-30T17:20:37Z</dcterms:modified>
</cp:coreProperties>
</file>